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500" firstSheet="0" activeTab="0" autoFilterDateGrouping="1"/>
  </bookViews>
  <sheets>
    <sheet name="SETUP" sheetId="1" state="visible" r:id="rId1"/>
    <sheet name="Mar 2026" sheetId="2" state="visible" r:id="rId2"/>
    <sheet name="TEMPLATE" sheetId="3" state="visible" r:id="rId3"/>
  </sheets>
  <definedNames/>
  <calcPr calcId="191029" calcMode="auto" fullCalcOnLoad="1" iterate="1" forceFullCalc="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A7D00"/>
      <sz val="10"/>
    </font>
    <font>
      <name val="Arial"/>
      <family val="2"/>
      <i val="1"/>
      <color rgb="FF777777"/>
      <sz val="9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AA"/>
      <sz val="10"/>
    </font>
    <font>
      <name val="Arial"/>
      <family val="2"/>
      <color rgb="FF7F5000"/>
      <sz val="9"/>
    </font>
    <font>
      <name val="Arial"/>
      <family val="2"/>
      <b val="1"/>
      <color rgb="FF002060"/>
      <sz val="9"/>
    </font>
    <font>
      <name val="Arial"/>
      <family val="2"/>
      <color rgb="FF222222"/>
      <sz val="9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13"/>
    </font>
    <font>
      <name val="Arial"/>
      <family val="2"/>
      <color rgb="FFFA7D00"/>
      <sz val="7"/>
    </font>
    <font>
      <name val="Arial"/>
      <family val="2"/>
      <color rgb="FF888888"/>
      <sz val="7"/>
    </font>
    <font>
      <name val="Arial"/>
      <family val="2"/>
      <color rgb="FF0000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1"/>
    </font>
    <font>
      <name val="Cambria"/>
      <family val="1"/>
      <sz val="11"/>
    </font>
    <font>
      <name val="Arial"/>
      <family val="2"/>
      <b val="1"/>
      <color rgb="FF002060"/>
      <sz val="10"/>
    </font>
    <font>
      <name val="Arial"/>
      <family val="2"/>
      <color rgb="FF222222"/>
      <sz val="10"/>
    </font>
    <font>
      <name val="Arial"/>
      <family val="2"/>
      <b val="1"/>
      <color rgb="FF375623"/>
      <sz val="10"/>
    </font>
    <font>
      <name val="Arial"/>
      <family val="2"/>
      <i val="1"/>
      <color rgb="FF555555"/>
      <sz val="9"/>
    </font>
    <font>
      <name val="Arial"/>
      <family val="2"/>
      <b val="1"/>
      <color rgb="FF8B0000"/>
      <sz val="10"/>
    </font>
    <font>
      <name val="Arial"/>
      <family val="2"/>
      <b val="1"/>
      <color rgb="FF006080"/>
      <sz val="10"/>
    </font>
    <font>
      <name val="Arial"/>
      <family val="2"/>
      <color rgb="FFAAAAAA"/>
      <sz val="9"/>
    </font>
    <font>
      <name val="Arial"/>
      <family val="2"/>
      <b val="1"/>
      <color rgb="FF7F5000"/>
      <sz val="10"/>
    </font>
    <font>
      <name val="Arial"/>
      <family val="2"/>
      <b val="1"/>
      <color rgb="FFFFFFFF"/>
      <sz val="18"/>
    </font>
    <font>
      <name val="Arial"/>
      <family val="2"/>
      <i val="1"/>
      <color rgb="FF222222"/>
      <sz val="9"/>
    </font>
    <font>
      <name val="Arial"/>
      <family val="2"/>
      <i val="1"/>
      <color rgb="FF333333"/>
      <sz val="9"/>
    </font>
    <font>
      <name val="Arial"/>
      <family val="2"/>
      <b val="1"/>
      <color rgb="FF002060"/>
      <sz val="13"/>
    </font>
  </fonts>
  <fills count="22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11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30" fillId="21" borderId="3" applyAlignment="1" pivotButton="0" quotePrefix="0" xfId="0">
      <alignment horizontal="right" vertical="center"/>
    </xf>
    <xf numFmtId="0" fontId="29" fillId="20" borderId="3" applyAlignment="1" pivotButton="0" quotePrefix="0" xfId="0">
      <alignment horizontal="left" vertical="center" wrapText="1"/>
    </xf>
    <xf numFmtId="0" fontId="18" fillId="2" borderId="5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11" fillId="5" borderId="3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top"/>
    </xf>
    <xf numFmtId="0" fontId="12" fillId="8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/>
    </xf>
    <xf numFmtId="0" fontId="7" fillId="3" borderId="4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165" fontId="16" fillId="13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164" fontId="16" fillId="13" borderId="2" applyAlignment="1" pivotButton="0" quotePrefix="0" xfId="0">
      <alignment horizontal="center" vertical="center"/>
    </xf>
    <xf numFmtId="167" fontId="16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right" vertical="center"/>
    </xf>
    <xf numFmtId="167" fontId="17" fillId="14" borderId="2" applyAlignment="1" pivotButton="0" quotePrefix="0" xfId="0">
      <alignment horizontal="center" vertical="center"/>
    </xf>
    <xf numFmtId="0" fontId="19" fillId="0" borderId="0" pivotButton="0" quotePrefix="0" xfId="0"/>
    <xf numFmtId="0" fontId="7" fillId="3" borderId="4" applyAlignment="1" pivotButton="0" quotePrefix="0" xfId="0">
      <alignment horizontal="center" vertical="center"/>
    </xf>
    <xf numFmtId="0" fontId="20" fillId="15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center" vertical="center"/>
    </xf>
    <xf numFmtId="0" fontId="19" fillId="15" borderId="2" pivotButton="0" quotePrefix="0" xfId="0"/>
    <xf numFmtId="0" fontId="21" fillId="16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center" vertical="center"/>
    </xf>
    <xf numFmtId="167" fontId="22" fillId="16" borderId="2" applyAlignment="1" pivotButton="0" quotePrefix="0" xfId="0">
      <alignment horizontal="center" vertical="center"/>
    </xf>
    <xf numFmtId="0" fontId="23" fillId="16" borderId="2" applyAlignment="1" pivotButton="0" quotePrefix="0" xfId="0">
      <alignment horizontal="left" vertical="center"/>
    </xf>
    <xf numFmtId="0" fontId="21" fillId="17" borderId="2" applyAlignment="1" pivotButton="0" quotePrefix="0" xfId="0">
      <alignment horizontal="left" vertical="center"/>
    </xf>
    <xf numFmtId="0" fontId="3" fillId="17" borderId="2" applyAlignment="1" pivotButton="0" quotePrefix="0" xfId="0">
      <alignment horizontal="center" vertical="center"/>
    </xf>
    <xf numFmtId="167" fontId="24" fillId="17" borderId="2" applyAlignment="1" pivotButton="0" quotePrefix="0" xfId="0">
      <alignment horizontal="center" vertical="center"/>
    </xf>
    <xf numFmtId="0" fontId="23" fillId="17" borderId="2" applyAlignment="1" pivotButton="0" quotePrefix="0" xfId="0">
      <alignment horizontal="left" vertical="center"/>
    </xf>
    <xf numFmtId="0" fontId="21" fillId="18" borderId="2" applyAlignment="1" pivotButton="0" quotePrefix="0" xfId="0">
      <alignment horizontal="left" vertical="center"/>
    </xf>
    <xf numFmtId="0" fontId="3" fillId="18" borderId="2" applyAlignment="1" pivotButton="0" quotePrefix="0" xfId="0">
      <alignment horizontal="center" vertical="center"/>
    </xf>
    <xf numFmtId="167" fontId="25" fillId="18" borderId="2" applyAlignment="1" pivotButton="0" quotePrefix="0" xfId="0">
      <alignment horizontal="center" vertical="center"/>
    </xf>
    <xf numFmtId="0" fontId="26" fillId="18" borderId="2" applyAlignment="1" pivotButton="0" quotePrefix="0" xfId="0">
      <alignment horizontal="center" vertical="center"/>
    </xf>
    <xf numFmtId="0" fontId="23" fillId="18" borderId="2" applyAlignment="1" pivotButton="0" quotePrefix="0" xfId="0">
      <alignment horizontal="left" vertical="center"/>
    </xf>
    <xf numFmtId="0" fontId="21" fillId="19" borderId="2" applyAlignment="1" pivotButton="0" quotePrefix="0" xfId="0">
      <alignment horizontal="left" vertical="center"/>
    </xf>
    <xf numFmtId="0" fontId="3" fillId="19" borderId="2" applyAlignment="1" pivotButton="0" quotePrefix="0" xfId="0">
      <alignment horizontal="center" vertical="center"/>
    </xf>
    <xf numFmtId="167" fontId="27" fillId="19" borderId="2" applyAlignment="1" pivotButton="0" quotePrefix="0" xfId="0">
      <alignment horizontal="center" vertical="center"/>
    </xf>
    <xf numFmtId="0" fontId="26" fillId="19" borderId="2" applyAlignment="1" pivotButton="0" quotePrefix="0" xfId="0">
      <alignment horizontal="center" vertical="center"/>
    </xf>
    <xf numFmtId="0" fontId="23" fillId="19" borderId="2" applyAlignment="1" pivotButton="0" quotePrefix="0" xfId="0">
      <alignment horizontal="left" vertical="center"/>
    </xf>
    <xf numFmtId="168" fontId="28" fillId="2" borderId="6" applyAlignment="1" pivotButton="0" quotePrefix="0" xfId="0">
      <alignment horizontal="center" vertical="center"/>
    </xf>
    <xf numFmtId="168" fontId="31" fillId="21" borderId="2" applyAlignment="1" pivotButton="0" quotePrefix="0" xfId="0">
      <alignment horizontal="center" vertical="center"/>
    </xf>
    <xf numFmtId="0" fontId="3" fillId="0" borderId="0" pivotButton="0" quotePrefix="0" xfId="0"/>
    <xf numFmtId="0" fontId="16" fillId="8" borderId="2" applyAlignment="1" pivotButton="0" quotePrefix="0" xfId="0">
      <alignment horizontal="left" vertical="center"/>
    </xf>
    <xf numFmtId="0" fontId="16" fillId="11" borderId="2" applyAlignment="1" pivotButton="0" quotePrefix="0" xfId="0">
      <alignment horizontal="left" vertical="center"/>
    </xf>
    <xf numFmtId="0" fontId="16" fillId="9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23" fillId="21" borderId="3" applyAlignment="1" pivotButton="0" quotePrefix="0" xfId="0">
      <alignment horizontal="left" vertical="center" wrapText="1"/>
    </xf>
    <xf numFmtId="0" fontId="21" fillId="19" borderId="2" applyAlignment="1" pivotButton="0" quotePrefix="0" xfId="0">
      <alignment horizontal="left" vertical="center" wrapText="1"/>
    </xf>
    <xf numFmtId="167" fontId="4" fillId="4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zoomScaleNormal="100" workbookViewId="0">
      <selection activeCell="A1" sqref="A1:E1"/>
    </sheetView>
  </sheetViews>
  <sheetFormatPr baseColWidth="10" defaultColWidth="8.6640625" defaultRowHeight="15" customHeight="1"/>
  <cols>
    <col width="20" customWidth="1" min="1" max="1"/>
    <col width="22" customWidth="1" min="2" max="2"/>
    <col width="20" customWidth="1" min="3" max="3"/>
    <col width="22" customWidth="1" min="4" max="4"/>
    <col width="32" customWidth="1" min="5" max="5"/>
  </cols>
  <sheetData>
    <row r="1" ht="39.75" customHeight="1">
      <c r="A1" s="14" t="inlineStr">
        <is>
          <t>RENEWAL MANAGEMENT TOOL  —  PROPERTY SETUP</t>
        </is>
      </c>
    </row>
    <row r="2" ht="21.75" customHeight="1">
      <c r="A2" s="13" t="inlineStr">
        <is>
          <t>PROPERTY CONFIGURATION</t>
        </is>
      </c>
    </row>
    <row r="3" ht="21.75" customHeight="1">
      <c r="A3" s="15" t="inlineStr">
        <is>
          <t>Property Name:</t>
        </is>
      </c>
      <c r="B3" s="16" t="inlineStr">
        <is>
          <t>RISE Citrus Ridge</t>
        </is>
      </c>
      <c r="C3" s="12" t="inlineStr">
        <is>
          <t>← Enter your property name here (blue = input cell)</t>
        </is>
      </c>
    </row>
    <row r="4" ht="21.75" customHeight="1">
      <c r="A4" s="15" t="inlineStr">
        <is>
          <t>Month / Year:</t>
        </is>
      </c>
      <c r="B4" s="16" t="inlineStr">
        <is>
          <t>March 2026</t>
        </is>
      </c>
      <c r="C4" s="12" t="inlineStr">
        <is>
          <t>← Enter month and year (e.g., 'April 2026')</t>
        </is>
      </c>
    </row>
    <row r="5" ht="7.5" customHeight="1"/>
    <row r="6" ht="21.75" customHeight="1">
      <c r="A6" s="13" t="inlineStr">
        <is>
          <t>FLOOR PLAN CONFIGURATION  —  Rates &amp; Occupancy by Unit Type</t>
        </is>
      </c>
    </row>
    <row r="7" ht="31.5" customHeight="1">
      <c r="A7" s="11" t="inlineStr">
        <is>
          <t>Enter each floor plan type, its current market rate, budget rate, and occupancy status. The renewal tracker sheet uses these values to auto-populate offers — just enter the Unit Type and everything calculates.</t>
        </is>
      </c>
    </row>
    <row r="8" ht="24" customHeight="1">
      <c r="A8" s="17" t="inlineStr">
        <is>
          <t>Floor Plan
Type</t>
        </is>
      </c>
      <c r="B8" s="17" t="inlineStr">
        <is>
          <t>Market Rate
($)</t>
        </is>
      </c>
      <c r="C8" s="17" t="inlineStr">
        <is>
          <t>Budget
Rate ($)</t>
        </is>
      </c>
      <c r="D8" s="17" t="inlineStr">
        <is>
          <t>Occupancy Status
(Under / Over)</t>
        </is>
      </c>
      <c r="E8" s="17" t="inlineStr">
        <is>
          <t>Unit Description / Notes</t>
        </is>
      </c>
    </row>
    <row r="9" ht="21.75" customHeight="1">
      <c r="A9" s="18" t="inlineStr">
        <is>
          <t>B1</t>
        </is>
      </c>
      <c r="B9" s="19" t="n">
        <v>2150</v>
      </c>
      <c r="C9" s="19" t="n">
        <v>2181</v>
      </c>
      <c r="D9" s="18" t="inlineStr">
        <is>
          <t>Under</t>
        </is>
      </c>
      <c r="E9" s="20" t="inlineStr">
        <is>
          <t>1 Bed / 1 Bath</t>
        </is>
      </c>
    </row>
    <row r="10" ht="21.75" customHeight="1">
      <c r="A10" s="21" t="inlineStr">
        <is>
          <t>C1</t>
        </is>
      </c>
      <c r="B10" s="22" t="n">
        <v>2295</v>
      </c>
      <c r="C10" s="22" t="n">
        <v>2626</v>
      </c>
      <c r="D10" s="21" t="inlineStr">
        <is>
          <t>Under</t>
        </is>
      </c>
      <c r="E10" s="23" t="inlineStr">
        <is>
          <t>2 Bed / 2 Bath</t>
        </is>
      </c>
    </row>
    <row r="11" ht="21.75" customHeight="1">
      <c r="A11" s="24" t="n"/>
      <c r="B11" s="24" t="n"/>
      <c r="C11" s="24" t="n"/>
      <c r="D11" s="24" t="n"/>
      <c r="E11" s="25" t="n"/>
    </row>
    <row r="12" ht="21.75" customHeight="1">
      <c r="A12" s="26" t="n"/>
      <c r="B12" s="26" t="n"/>
      <c r="C12" s="26" t="n"/>
      <c r="D12" s="26" t="n"/>
      <c r="E12" s="27" t="n"/>
    </row>
    <row r="13" ht="21.75" customHeight="1">
      <c r="A13" s="24" t="n"/>
      <c r="B13" s="24" t="n"/>
      <c r="C13" s="24" t="n"/>
      <c r="D13" s="24" t="n"/>
      <c r="E13" s="25" t="n"/>
    </row>
    <row r="14" ht="21.75" customHeight="1">
      <c r="A14" s="26" t="n"/>
      <c r="B14" s="26" t="n"/>
      <c r="C14" s="26" t="n"/>
      <c r="D14" s="26" t="n"/>
      <c r="E14" s="27" t="n"/>
    </row>
    <row r="15" ht="21.75" customHeight="1">
      <c r="A15" s="24" t="n"/>
      <c r="B15" s="24" t="n"/>
      <c r="C15" s="24" t="n"/>
      <c r="D15" s="24" t="n"/>
      <c r="E15" s="25" t="n"/>
    </row>
    <row r="16" ht="21.75" customHeight="1">
      <c r="A16" s="26" t="n"/>
      <c r="B16" s="26" t="n"/>
      <c r="C16" s="26" t="n"/>
      <c r="D16" s="26" t="n"/>
      <c r="E16" s="27" t="n"/>
    </row>
    <row r="17" ht="21.75" customHeight="1">
      <c r="A17" s="24" t="n"/>
      <c r="B17" s="24" t="n"/>
      <c r="C17" s="24" t="n"/>
      <c r="D17" s="24" t="n"/>
      <c r="E17" s="25" t="n"/>
    </row>
    <row r="18" ht="21.75" customHeight="1">
      <c r="A18" s="26" t="n"/>
      <c r="B18" s="26" t="n"/>
      <c r="C18" s="26" t="n"/>
      <c r="D18" s="26" t="n"/>
      <c r="E18" s="27" t="n"/>
    </row>
    <row r="19" ht="24.75" customHeight="1">
      <c r="A19" s="10" t="inlineStr">
        <is>
          <t>⚠  Occupancy Status: Type "Under" when floor plan is below occupancy budget target, "Over" when above it. This controls which offer formula tier is applied.</t>
        </is>
      </c>
    </row>
    <row r="20" ht="7.5" customHeight="1"/>
    <row r="21" ht="21.75" customHeight="1">
      <c r="A21" s="9" t="inlineStr">
        <is>
          <t>HOW TO USE THIS TOOL</t>
        </is>
      </c>
    </row>
    <row r="22" ht="42" customHeight="1">
      <c r="A22" s="28" t="inlineStr">
        <is>
          <t>Step 1 — Configure:</t>
        </is>
      </c>
      <c r="B22" s="8" t="inlineStr">
        <is>
          <t>Update Property Name and Month/Year above. Enter all floor plan types with market rates, budget rates, and occupancy status (Under/Over). These feed every renewal sheet automatically.</t>
        </is>
      </c>
      <c r="C22" s="79" t="n"/>
      <c r="D22" s="79" t="n"/>
      <c r="E22" s="79" t="n"/>
    </row>
    <row r="23" ht="42" customHeight="1">
      <c r="A23" s="28" t="inlineStr">
        <is>
          <t>Step 2 — Enter Residents:</t>
        </is>
      </c>
      <c r="B23" s="8" t="inlineStr">
        <is>
          <t>Go to the monthly renewal sheet (e.g., 'Mar 2026'). Type resident data in the orange columns: Name, Unit, Unit Type, Expiration Date, Deposit Held, and Current Rate. All other columns calculate automatically.</t>
        </is>
      </c>
      <c r="C23" s="79" t="n"/>
      <c r="D23" s="79" t="n"/>
      <c r="E23" s="79" t="n"/>
    </row>
    <row r="24" ht="42" customHeight="1">
      <c r="A24" s="28" t="inlineStr">
        <is>
          <t>Step 3 — Track Decisions:</t>
        </is>
      </c>
      <c r="B24" s="8" t="inlineStr">
        <is>
          <t>As decisions come in, enter dates or notes in the Renewal Signed, Transfer, or NTV Rcv'd columns. Rows auto-color: Green = Renewed, Red = NTV, Blue = Transfer, Yellow = Pending.</t>
        </is>
      </c>
      <c r="C24" s="79" t="n"/>
      <c r="D24" s="79" t="n"/>
      <c r="E24" s="79" t="n"/>
    </row>
    <row r="25" ht="42" customHeight="1">
      <c r="A25" s="28" t="inlineStr">
        <is>
          <t>Step 4 — New Month:</t>
        </is>
      </c>
      <c r="B25" s="8" t="inlineStr">
        <is>
          <t>Right-click the TEMPLATE tab → 'Move or Copy' → check 'Create a copy' → rename to new month (e.g., 'Apr 2026'). Update Month/Year in this SETUP sheet.</t>
        </is>
      </c>
      <c r="C25" s="79" t="n"/>
      <c r="D25" s="79" t="n"/>
      <c r="E25" s="79" t="n"/>
    </row>
    <row r="26" ht="42" customHeight="1">
      <c r="A26" s="28" t="inlineStr">
        <is>
          <t>Step 5 — New Property:</t>
        </is>
      </c>
      <c r="B26" s="8" t="inlineStr">
        <is>
          <t>Save a copy of this entire workbook with the new property name. Then update SETUP with the new property name and its floor plan configuration. All sheets reference SETUP automatically.</t>
        </is>
      </c>
      <c r="C26" s="79" t="n"/>
      <c r="D26" s="79" t="n"/>
      <c r="E26" s="79" t="n"/>
    </row>
    <row r="28" ht="21.75" customHeight="1">
      <c r="A28" s="7" t="inlineStr">
        <is>
          <t>ROW COLOR CODING (auto-applied based on status entries)</t>
        </is>
      </c>
    </row>
    <row r="29" ht="19.5" customHeight="1">
      <c r="A29" s="29" t="inlineStr">
        <is>
          <t>Renewed</t>
        </is>
      </c>
      <c r="B29" s="6" t="inlineStr">
        <is>
          <t>A date/value entered in 'Renewal Signed' column (N) turns the row green</t>
        </is>
      </c>
      <c r="C29" s="79" t="n"/>
      <c r="D29" s="79" t="n"/>
      <c r="E29" s="79" t="n"/>
    </row>
    <row r="30" ht="19.5" customHeight="1">
      <c r="A30" s="30" t="inlineStr">
        <is>
          <t>NTV (Notice to Vacate)</t>
        </is>
      </c>
      <c r="B30" s="6" t="inlineStr">
        <is>
          <t>A date/value entered in 'NTV Rcv'd' column (P) turns the row red</t>
        </is>
      </c>
      <c r="C30" s="79" t="n"/>
      <c r="D30" s="79" t="n"/>
      <c r="E30" s="79" t="n"/>
    </row>
    <row r="31" ht="19.5" customHeight="1">
      <c r="A31" s="31" t="inlineStr">
        <is>
          <t>Transfer</t>
        </is>
      </c>
      <c r="B31" s="6" t="inlineStr">
        <is>
          <t>A date/value entered in 'Transfer' column (O) turns the row blue</t>
        </is>
      </c>
      <c r="C31" s="79" t="n"/>
      <c r="D31" s="79" t="n"/>
      <c r="E31" s="79" t="n"/>
    </row>
    <row r="32" ht="19.5" customHeight="1">
      <c r="A32" s="32" t="inlineStr">
        <is>
          <t>Pending Signature</t>
        </is>
      </c>
      <c r="B32" s="6" t="inlineStr">
        <is>
          <t>Color manually with yellow fill using Excel's fill tool</t>
        </is>
      </c>
      <c r="C32" s="79" t="n"/>
      <c r="D32" s="79" t="n"/>
      <c r="E32" s="79" t="n"/>
    </row>
    <row r="33" ht="19.5" customHeight="1">
      <c r="A33" s="33" t="inlineStr">
        <is>
          <t>MTM (Month-to-Month)</t>
        </is>
      </c>
      <c r="B33" s="6" t="inlineStr">
        <is>
          <t>Color manually with gray fill using Excel's fill tool</t>
        </is>
      </c>
      <c r="C33" s="79" t="n"/>
      <c r="D33" s="79" t="n"/>
      <c r="E33" s="79" t="n"/>
    </row>
  </sheetData>
  <mergeCells count="19">
    <mergeCell ref="B30:E30"/>
    <mergeCell ref="B33:E33"/>
    <mergeCell ref="A1:E1"/>
    <mergeCell ref="B24:E24"/>
    <mergeCell ref="A6:E6"/>
    <mergeCell ref="B32:E32"/>
    <mergeCell ref="B26:E26"/>
    <mergeCell ref="A7:E7"/>
    <mergeCell ref="B25:E25"/>
    <mergeCell ref="B22:E22"/>
    <mergeCell ref="A21:E21"/>
    <mergeCell ref="B31:E31"/>
    <mergeCell ref="A2:E2"/>
    <mergeCell ref="C3:E3"/>
    <mergeCell ref="B23:E23"/>
    <mergeCell ref="A28:E28"/>
    <mergeCell ref="A19:E19"/>
    <mergeCell ref="B29:E29"/>
    <mergeCell ref="C4:E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/>
  <cols>
    <col width="23" customWidth="1" min="1" max="1"/>
    <col width="10" customWidth="1" min="2" max="2"/>
    <col width="10" customWidth="1" min="3" max="3"/>
    <col width="14" customWidth="1" min="4" max="4"/>
    <col width="19.83203125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ht="34.5" customHeight="1">
      <c r="A1" s="5">
        <f>SETUP!B3&amp;" - "&amp;SETUP!B4&amp;" Renewals"</f>
        <v/>
      </c>
    </row>
    <row r="2" ht="49.5" customHeight="1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ht="12.75" customHeight="1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ht="19.5" customHeight="1">
      <c r="A4" s="20" t="inlineStr">
        <is>
          <t>Adolfo Trevino III</t>
        </is>
      </c>
      <c r="B4" s="18" t="inlineStr">
        <is>
          <t>3-2055</t>
        </is>
      </c>
      <c r="C4" s="18" t="inlineStr">
        <is>
          <t>C1</t>
        </is>
      </c>
      <c r="D4" s="37" t="n">
        <v>46173</v>
      </c>
      <c r="E4" s="38">
        <f>IF(D4="","",D4-90)</f>
        <v/>
      </c>
      <c r="F4" s="38">
        <f>IF(D4="","",D4-60)</f>
        <v/>
      </c>
      <c r="G4" s="38">
        <f>IF(D4="","",D4-30)</f>
        <v/>
      </c>
      <c r="H4" s="39" t="n">
        <v>500</v>
      </c>
      <c r="I4" s="19" t="n">
        <v>2195</v>
      </c>
      <c r="J4" s="40">
        <f>IF(I4="","",IF(ABS(N4-W4)&lt;=ABS(M4-W4),IF(ABS(N4-W4)&lt;=ABS(O4-W4),"Offer 2","Offer 3"),IF(ABS(M4-W4)&lt;=ABS(O4-W4),"Offer 1","Offer 3")))</f>
        <v/>
      </c>
      <c r="K4" s="78" t="n"/>
      <c r="L4" s="41">
        <f>IF(OR(I4="",K4=""),"",CEILING(I4*(1+K4),5))</f>
        <v/>
      </c>
      <c r="M4" s="41">
        <f>IF(I4="","",IF(X4="Under",CEILING(MAX(I4*1.02,MIN(V4,W4)*0.95),5),CEILING(MAX(I4*1.03,MIN(V4,W4)*0.97),5)))</f>
        <v/>
      </c>
      <c r="N4" s="41">
        <f>IF(I4="","",IF(X4="Under",CEILING(MAX(I4*1.03,(V4+W4)/2*0.96),5),CEILING(MAX(I4*1.05,(V4+W4)/2*0.98),5)))</f>
        <v/>
      </c>
      <c r="O4" s="41">
        <f>IF(I4="","",IF(X4="Under",CEILING(MAX(I4*1.05,MIN(V4,W4*1.01)),5),CEILING(MAX(I4*1.08,MIN(V4,W4*1.02)),5)))</f>
        <v/>
      </c>
      <c r="P4" s="18" t="n"/>
      <c r="Q4" s="18" t="n"/>
      <c r="R4" s="18" t="n"/>
      <c r="S4" s="18" t="n"/>
      <c r="T4" s="18" t="n"/>
      <c r="U4" s="18" t="n"/>
      <c r="V4" s="41">
        <f>IF(C4="","",IFERROR(VLOOKUP(C4,SETUP!$A$9:$D$18,2,0),"⚠ Check SETUP"))</f>
        <v/>
      </c>
      <c r="W4" s="41">
        <f>IF(C4="","",IFERROR(VLOOKUP(C4,SETUP!$A$9:$D$18,3,0),"⚠ Check SETUP"))</f>
        <v/>
      </c>
      <c r="X4" s="40">
        <f>IF(C4="","",IFERROR(VLOOKUP(C4,SETUP!$A$9:$D$18,4,0),"⚠ Check SETUP"))</f>
        <v/>
      </c>
      <c r="Y4" s="42">
        <f>IF(OR(I4="",M4=""),"",(M4-I4)/I4)</f>
        <v/>
      </c>
      <c r="Z4" s="42">
        <f>IF(OR(I4="",N4=""),"",(N4-I4)/I4)</f>
        <v/>
      </c>
      <c r="AA4" s="42">
        <f>IF(OR(I4="",O4=""),"",(O4-I4)/I4)</f>
        <v/>
      </c>
      <c r="AB4" s="42">
        <f>IF(OR(Q4="",S4&lt;&gt;"",P4="",I4=""),"",IF(P4="Investor Override",IF(L4="","",(L4-I4)/I4),IF(P4="Offer 1",IF(M4="","",(M4-I4)/I4),IF(P4="Offer 2",IF(N4="","",(N4-I4)/I4),IF(P4="Offer 3",IF(O4="","",(O4-I4)/I4),"")))))</f>
        <v/>
      </c>
    </row>
    <row r="5" ht="19.5" customHeight="1">
      <c r="A5" s="20" t="inlineStr">
        <is>
          <t>Shania Folkes</t>
        </is>
      </c>
      <c r="B5" s="18" t="inlineStr">
        <is>
          <t>13-2197</t>
        </is>
      </c>
      <c r="C5" s="18" t="inlineStr">
        <is>
          <t>B1</t>
        </is>
      </c>
      <c r="D5" s="37" t="n">
        <v>46174</v>
      </c>
      <c r="E5" s="38">
        <f>IF(D5="","",D5-90)</f>
        <v/>
      </c>
      <c r="F5" s="38">
        <f>IF(D5="","",D5-60)</f>
        <v/>
      </c>
      <c r="G5" s="38">
        <f>IF(D5="","",D5-30)</f>
        <v/>
      </c>
      <c r="H5" s="39" t="n">
        <v>0</v>
      </c>
      <c r="I5" s="19" t="n">
        <v>1895</v>
      </c>
      <c r="J5" s="40">
        <f>IF(I5="","",IF(ABS(N5-W5)&lt;=ABS(M5-W5),IF(ABS(N5-W5)&lt;=ABS(O5-W5),"Offer 2","Offer 3"),IF(ABS(M5-W5)&lt;=ABS(O5-W5),"Offer 1","Offer 3")))</f>
        <v/>
      </c>
      <c r="K5" s="78" t="n"/>
      <c r="L5" s="41">
        <f>IF(OR(I5="",K5=""),"",CEILING(I5*(1+K5),5))</f>
        <v/>
      </c>
      <c r="M5" s="41">
        <f>IF(I5="","",IF(X5="Under",CEILING(MAX(I5*1.02,MIN(V5,W5)*0.95),5),CEILING(MAX(I5*1.03,MIN(V5,W5)*0.97),5)))</f>
        <v/>
      </c>
      <c r="N5" s="41">
        <f>IF(I5="","",IF(X5="Under",CEILING(MAX(I5*1.03,(V5+W5)/2*0.96),5),CEILING(MAX(I5*1.05,(V5+W5)/2*0.98),5)))</f>
        <v/>
      </c>
      <c r="O5" s="41">
        <f>IF(I5="","",IF(X5="Under",CEILING(MAX(I5*1.05,MIN(V5,W5*1.01)),5),CEILING(MAX(I5*1.08,MIN(V5,W5*1.02)),5)))</f>
        <v/>
      </c>
      <c r="P5" s="18" t="n"/>
      <c r="Q5" s="18" t="n"/>
      <c r="R5" s="18" t="n"/>
      <c r="S5" s="18" t="n"/>
      <c r="T5" s="18" t="n"/>
      <c r="U5" s="18" t="n"/>
      <c r="V5" s="41">
        <f>IF(C5="","",IFERROR(VLOOKUP(C5,SETUP!$A$9:$D$18,2,0),"⚠ Check SETUP"))</f>
        <v/>
      </c>
      <c r="W5" s="41">
        <f>IF(C5="","",IFERROR(VLOOKUP(C5,SETUP!$A$9:$D$18,3,0),"⚠ Check SETUP"))</f>
        <v/>
      </c>
      <c r="X5" s="40">
        <f>IF(C5="","",IFERROR(VLOOKUP(C5,SETUP!$A$9:$D$18,4,0),"⚠ Check SETUP"))</f>
        <v/>
      </c>
      <c r="Y5" s="42">
        <f>IF(OR(I5="",M5=""),"",(M5-I5)/I5)</f>
        <v/>
      </c>
      <c r="Z5" s="42">
        <f>IF(OR(I5="",N5=""),"",(N5-I5)/I5)</f>
        <v/>
      </c>
      <c r="AA5" s="42">
        <f>IF(OR(I5="",O5=""),"",(O5-I5)/I5)</f>
        <v/>
      </c>
      <c r="AB5" s="42">
        <f>IF(OR(Q5="",S5&lt;&gt;"",P5="",I5=""),"",IF(P5="Investor Override",IF(L5="","",(L5-I5)/I5),IF(P5="Offer 1",IF(M5="","",(M5-I5)/I5),IF(P5="Offer 2",IF(N5="","",(N5-I5)/I5),IF(P5="Offer 3",IF(O5="","",(O5-I5)/I5),"")))))</f>
        <v/>
      </c>
    </row>
    <row r="6" ht="19.5" customHeight="1">
      <c r="A6" s="20" t="inlineStr">
        <is>
          <t>Monique Mayhue</t>
        </is>
      </c>
      <c r="B6" s="18" t="inlineStr">
        <is>
          <t>11-2153</t>
        </is>
      </c>
      <c r="C6" s="18" t="inlineStr">
        <is>
          <t>C1</t>
        </is>
      </c>
      <c r="D6" s="37" t="n">
        <v>46177</v>
      </c>
      <c r="E6" s="38">
        <f>IF(D6="","",D6-90)</f>
        <v/>
      </c>
      <c r="F6" s="38">
        <f>IF(D6="","",D6-60)</f>
        <v/>
      </c>
      <c r="G6" s="38">
        <f>IF(D6="","",D6-30)</f>
        <v/>
      </c>
      <c r="H6" s="39" t="n">
        <v>2195</v>
      </c>
      <c r="I6" s="19" t="n">
        <v>2195</v>
      </c>
      <c r="J6" s="40">
        <f>IF(I6="","",IF(ABS(N6-W6)&lt;=ABS(M6-W6),IF(ABS(N6-W6)&lt;=ABS(O6-W6),"Offer 2","Offer 3"),IF(ABS(M6-W6)&lt;=ABS(O6-W6),"Offer 1","Offer 3")))</f>
        <v/>
      </c>
      <c r="K6" s="78" t="n"/>
      <c r="L6" s="41">
        <f>IF(OR(I6="",K6=""),"",CEILING(I6*(1+K6),5))</f>
        <v/>
      </c>
      <c r="M6" s="41">
        <f>IF(I6="","",IF(X6="Under",CEILING(MAX(I6*1.02,MIN(V6,W6)*0.95),5),CEILING(MAX(I6*1.03,MIN(V6,W6)*0.97),5)))</f>
        <v/>
      </c>
      <c r="N6" s="41">
        <f>IF(I6="","",IF(X6="Under",CEILING(MAX(I6*1.03,(V6+W6)/2*0.96),5),CEILING(MAX(I6*1.05,(V6+W6)/2*0.98),5)))</f>
        <v/>
      </c>
      <c r="O6" s="41">
        <f>IF(I6="","",IF(X6="Under",CEILING(MAX(I6*1.05,MIN(V6,W6*1.01)),5),CEILING(MAX(I6*1.08,MIN(V6,W6*1.02)),5)))</f>
        <v/>
      </c>
      <c r="P6" s="18" t="n"/>
      <c r="Q6" s="18" t="n"/>
      <c r="R6" s="18" t="n"/>
      <c r="S6" s="18" t="n"/>
      <c r="T6" s="18" t="n"/>
      <c r="U6" s="18" t="n"/>
      <c r="V6" s="41">
        <f>IF(C6="","",IFERROR(VLOOKUP(C6,SETUP!$A$9:$D$18,2,0),"⚠ Check SETUP"))</f>
        <v/>
      </c>
      <c r="W6" s="41">
        <f>IF(C6="","",IFERROR(VLOOKUP(C6,SETUP!$A$9:$D$18,3,0),"⚠ Check SETUP"))</f>
        <v/>
      </c>
      <c r="X6" s="40">
        <f>IF(C6="","",IFERROR(VLOOKUP(C6,SETUP!$A$9:$D$18,4,0),"⚠ Check SETUP"))</f>
        <v/>
      </c>
      <c r="Y6" s="42">
        <f>IF(OR(I6="",M6=""),"",(M6-I6)/I6)</f>
        <v/>
      </c>
      <c r="Z6" s="42">
        <f>IF(OR(I6="",N6=""),"",(N6-I6)/I6)</f>
        <v/>
      </c>
      <c r="AA6" s="42">
        <f>IF(OR(I6="",O6=""),"",(O6-I6)/I6)</f>
        <v/>
      </c>
      <c r="AB6" s="42">
        <f>IF(OR(Q6="",S6&lt;&gt;"",P6="",I6=""),"",IF(P6="Investor Override",IF(L6="","",(L6-I6)/I6),IF(P6="Offer 1",IF(M6="","",(M6-I6)/I6),IF(P6="Offer 2",IF(N6="","",(N6-I6)/I6),IF(P6="Offer 3",IF(O6="","",(O6-I6)/I6),"")))))</f>
        <v/>
      </c>
    </row>
    <row r="7" ht="19.5" customHeight="1">
      <c r="A7" s="20" t="inlineStr">
        <is>
          <t>Samaria Burrell</t>
        </is>
      </c>
      <c r="B7" s="18" t="inlineStr">
        <is>
          <t>11-2157</t>
        </is>
      </c>
      <c r="C7" s="18" t="inlineStr">
        <is>
          <t>B1</t>
        </is>
      </c>
      <c r="D7" s="37" t="n">
        <v>46180</v>
      </c>
      <c r="E7" s="38">
        <f>IF(D7="","",D7-90)</f>
        <v/>
      </c>
      <c r="F7" s="38">
        <f>IF(D7="","",D7-60)</f>
        <v/>
      </c>
      <c r="G7" s="38">
        <f>IF(D7="","",D7-30)</f>
        <v/>
      </c>
      <c r="H7" s="39" t="n">
        <v>1895</v>
      </c>
      <c r="I7" s="19" t="n">
        <v>1895</v>
      </c>
      <c r="J7" s="40">
        <f>IF(I7="","",IF(ABS(N7-W7)&lt;=ABS(M7-W7),IF(ABS(N7-W7)&lt;=ABS(O7-W7),"Offer 2","Offer 3"),IF(ABS(M7-W7)&lt;=ABS(O7-W7),"Offer 1","Offer 3")))</f>
        <v/>
      </c>
      <c r="K7" s="78" t="n"/>
      <c r="L7" s="41">
        <f>IF(OR(I7="",K7=""),"",CEILING(I7*(1+K7),5))</f>
        <v/>
      </c>
      <c r="M7" s="41">
        <f>IF(I7="","",IF(X7="Under",CEILING(MAX(I7*1.02,MIN(V7,W7)*0.95),5),CEILING(MAX(I7*1.03,MIN(V7,W7)*0.97),5)))</f>
        <v/>
      </c>
      <c r="N7" s="41">
        <f>IF(I7="","",IF(X7="Under",CEILING(MAX(I7*1.03,(V7+W7)/2*0.96),5),CEILING(MAX(I7*1.05,(V7+W7)/2*0.98),5)))</f>
        <v/>
      </c>
      <c r="O7" s="41">
        <f>IF(I7="","",IF(X7="Under",CEILING(MAX(I7*1.05,MIN(V7,W7*1.01)),5),CEILING(MAX(I7*1.08,MIN(V7,W7*1.02)),5)))</f>
        <v/>
      </c>
      <c r="P7" s="18" t="n"/>
      <c r="Q7" s="18" t="n"/>
      <c r="R7" s="18" t="n"/>
      <c r="S7" s="18" t="n"/>
      <c r="T7" s="18" t="n"/>
      <c r="U7" s="18" t="n"/>
      <c r="V7" s="41">
        <f>IF(C7="","",IFERROR(VLOOKUP(C7,SETUP!$A$9:$D$18,2,0),"⚠ Check SETUP"))</f>
        <v/>
      </c>
      <c r="W7" s="41">
        <f>IF(C7="","",IFERROR(VLOOKUP(C7,SETUP!$A$9:$D$18,3,0),"⚠ Check SETUP"))</f>
        <v/>
      </c>
      <c r="X7" s="40">
        <f>IF(C7="","",IFERROR(VLOOKUP(C7,SETUP!$A$9:$D$18,4,0),"⚠ Check SETUP"))</f>
        <v/>
      </c>
      <c r="Y7" s="42">
        <f>IF(OR(I7="",M7=""),"",(M7-I7)/I7)</f>
        <v/>
      </c>
      <c r="Z7" s="42">
        <f>IF(OR(I7="",N7=""),"",(N7-I7)/I7)</f>
        <v/>
      </c>
      <c r="AA7" s="42">
        <f>IF(OR(I7="",O7=""),"",(O7-I7)/I7)</f>
        <v/>
      </c>
      <c r="AB7" s="42">
        <f>IF(OR(Q7="",S7&lt;&gt;"",P7="",I7=""),"",IF(P7="Investor Override",IF(L7="","",(L7-I7)/I7),IF(P7="Offer 1",IF(M7="","",(M7-I7)/I7),IF(P7="Offer 2",IF(N7="","",(N7-I7)/I7),IF(P7="Offer 3",IF(O7="","",(O7-I7)/I7),"")))))</f>
        <v/>
      </c>
    </row>
    <row r="8" ht="19.5" customHeight="1">
      <c r="A8" s="20" t="inlineStr">
        <is>
          <t>Maddie Boquet</t>
        </is>
      </c>
      <c r="B8" s="18" t="inlineStr">
        <is>
          <t>12-2191</t>
        </is>
      </c>
      <c r="C8" s="18" t="inlineStr">
        <is>
          <t>B1</t>
        </is>
      </c>
      <c r="D8" s="37" t="n">
        <v>46195</v>
      </c>
      <c r="E8" s="38">
        <f>IF(D8="","",D8-90)</f>
        <v/>
      </c>
      <c r="F8" s="38">
        <f>IF(D8="","",D8-60)</f>
        <v/>
      </c>
      <c r="G8" s="38">
        <f>IF(D8="","",D8-30)</f>
        <v/>
      </c>
      <c r="H8" s="39" t="n">
        <v>0</v>
      </c>
      <c r="I8" s="19" t="n">
        <v>1895</v>
      </c>
      <c r="J8" s="40">
        <f>IF(I8="","",IF(ABS(N8-W8)&lt;=ABS(M8-W8),IF(ABS(N8-W8)&lt;=ABS(O8-W8),"Offer 2","Offer 3"),IF(ABS(M8-W8)&lt;=ABS(O8-W8),"Offer 1","Offer 3")))</f>
        <v/>
      </c>
      <c r="K8" s="78" t="n"/>
      <c r="L8" s="41">
        <f>IF(OR(I8="",K8=""),"",CEILING(I8*(1+K8),5))</f>
        <v/>
      </c>
      <c r="M8" s="41">
        <f>IF(I8="","",IF(X8="Under",CEILING(MAX(I8*1.02,MIN(V8,W8)*0.95),5),CEILING(MAX(I8*1.03,MIN(V8,W8)*0.97),5)))</f>
        <v/>
      </c>
      <c r="N8" s="41">
        <f>IF(I8="","",IF(X8="Under",CEILING(MAX(I8*1.03,(V8+W8)/2*0.96),5),CEILING(MAX(I8*1.05,(V8+W8)/2*0.98),5)))</f>
        <v/>
      </c>
      <c r="O8" s="41">
        <f>IF(I8="","",IF(X8="Under",CEILING(MAX(I8*1.05,MIN(V8,W8*1.01)),5),CEILING(MAX(I8*1.08,MIN(V8,W8*1.02)),5)))</f>
        <v/>
      </c>
      <c r="P8" s="18" t="n"/>
      <c r="Q8" s="18" t="n"/>
      <c r="R8" s="18" t="n"/>
      <c r="S8" s="18" t="n"/>
      <c r="T8" s="18" t="n"/>
      <c r="U8" s="18" t="n"/>
      <c r="V8" s="41">
        <f>IF(C8="","",IFERROR(VLOOKUP(C8,SETUP!$A$9:$D$18,2,0),"⚠ Check SETUP"))</f>
        <v/>
      </c>
      <c r="W8" s="41">
        <f>IF(C8="","",IFERROR(VLOOKUP(C8,SETUP!$A$9:$D$18,3,0),"⚠ Check SETUP"))</f>
        <v/>
      </c>
      <c r="X8" s="40">
        <f>IF(C8="","",IFERROR(VLOOKUP(C8,SETUP!$A$9:$D$18,4,0),"⚠ Check SETUP"))</f>
        <v/>
      </c>
      <c r="Y8" s="42">
        <f>IF(OR(I8="",M8=""),"",(M8-I8)/I8)</f>
        <v/>
      </c>
      <c r="Z8" s="42">
        <f>IF(OR(I8="",N8=""),"",(N8-I8)/I8)</f>
        <v/>
      </c>
      <c r="AA8" s="42">
        <f>IF(OR(I8="",O8=""),"",(O8-I8)/I8)</f>
        <v/>
      </c>
      <c r="AB8" s="42">
        <f>IF(OR(Q8="",S8&lt;&gt;"",P8="",I8=""),"",IF(P8="Investor Override",IF(L8="","",(L8-I8)/I8),IF(P8="Offer 1",IF(M8="","",(M8-I8)/I8),IF(P8="Offer 2",IF(N8="","",(N8-I8)/I8),IF(P8="Offer 3",IF(O8="","",(O8-I8)/I8),"")))))</f>
        <v/>
      </c>
    </row>
    <row r="9" ht="19.5" customHeight="1">
      <c r="A9" s="20" t="inlineStr">
        <is>
          <t>Juan Rodriguez</t>
        </is>
      </c>
      <c r="B9" s="18" t="inlineStr">
        <is>
          <t>7-2134</t>
        </is>
      </c>
      <c r="C9" s="18" t="inlineStr">
        <is>
          <t>C1</t>
        </is>
      </c>
      <c r="D9" s="37" t="n">
        <v>46198</v>
      </c>
      <c r="E9" s="38">
        <f>IF(D9="","",D9-90)</f>
        <v/>
      </c>
      <c r="F9" s="38">
        <f>IF(D9="","",D9-60)</f>
        <v/>
      </c>
      <c r="G9" s="38">
        <f>IF(D9="","",D9-30)</f>
        <v/>
      </c>
      <c r="H9" s="39" t="n">
        <v>0</v>
      </c>
      <c r="I9" s="19" t="n">
        <v>2195</v>
      </c>
      <c r="J9" s="40">
        <f>IF(I9="","",IF(ABS(N9-W9)&lt;=ABS(M9-W9),IF(ABS(N9-W9)&lt;=ABS(O9-W9),"Offer 2","Offer 3"),IF(ABS(M9-W9)&lt;=ABS(O9-W9),"Offer 1","Offer 3")))</f>
        <v/>
      </c>
      <c r="K9" s="78" t="n"/>
      <c r="L9" s="41">
        <f>IF(OR(I9="",K9=""),"",CEILING(I9*(1+K9),5))</f>
        <v/>
      </c>
      <c r="M9" s="41">
        <f>IF(I9="","",IF(X9="Under",CEILING(MAX(I9*1.02,MIN(V9,W9)*0.95),5),CEILING(MAX(I9*1.03,MIN(V9,W9)*0.97),5)))</f>
        <v/>
      </c>
      <c r="N9" s="41">
        <f>IF(I9="","",IF(X9="Under",CEILING(MAX(I9*1.03,(V9+W9)/2*0.96),5),CEILING(MAX(I9*1.05,(V9+W9)/2*0.98),5)))</f>
        <v/>
      </c>
      <c r="O9" s="41">
        <f>IF(I9="","",IF(X9="Under",CEILING(MAX(I9*1.05,MIN(V9,W9*1.01)),5),CEILING(MAX(I9*1.08,MIN(V9,W9*1.02)),5)))</f>
        <v/>
      </c>
      <c r="P9" s="18" t="n"/>
      <c r="Q9" s="18" t="n"/>
      <c r="R9" s="18" t="n"/>
      <c r="S9" s="18" t="n"/>
      <c r="T9" s="18" t="n"/>
      <c r="U9" s="18" t="n"/>
      <c r="V9" s="41">
        <f>IF(C9="","",IFERROR(VLOOKUP(C9,SETUP!$A$9:$D$18,2,0),"⚠ Check SETUP"))</f>
        <v/>
      </c>
      <c r="W9" s="41">
        <f>IF(C9="","",IFERROR(VLOOKUP(C9,SETUP!$A$9:$D$18,3,0),"⚠ Check SETUP"))</f>
        <v/>
      </c>
      <c r="X9" s="40">
        <f>IF(C9="","",IFERROR(VLOOKUP(C9,SETUP!$A$9:$D$18,4,0),"⚠ Check SETUP"))</f>
        <v/>
      </c>
      <c r="Y9" s="42">
        <f>IF(OR(I9="",M9=""),"",(M9-I9)/I9)</f>
        <v/>
      </c>
      <c r="Z9" s="42">
        <f>IF(OR(I9="",N9=""),"",(N9-I9)/I9)</f>
        <v/>
      </c>
      <c r="AA9" s="42">
        <f>IF(OR(I9="",O9=""),"",(O9-I9)/I9)</f>
        <v/>
      </c>
      <c r="AB9" s="42">
        <f>IF(OR(Q9="",S9&lt;&gt;"",P9="",I9=""),"",IF(P9="Investor Override",IF(L9="","",(L9-I9)/I9),IF(P9="Offer 1",IF(M9="","",(M9-I9)/I9),IF(P9="Offer 2",IF(N9="","",(N9-I9)/I9),IF(P9="Offer 3",IF(O9="","",(O9-I9)/I9),"")))))</f>
        <v/>
      </c>
    </row>
    <row r="10" ht="19.5" customHeight="1">
      <c r="A10" s="20" t="inlineStr">
        <is>
          <t>Elizabeth Cook</t>
        </is>
      </c>
      <c r="B10" s="18" t="inlineStr">
        <is>
          <t>8-2156</t>
        </is>
      </c>
      <c r="C10" s="18" t="inlineStr">
        <is>
          <t>C1</t>
        </is>
      </c>
      <c r="D10" s="37" t="n">
        <v>46203</v>
      </c>
      <c r="E10" s="38">
        <f>IF(D10="","",D10-90)</f>
        <v/>
      </c>
      <c r="F10" s="38">
        <f>IF(D10="","",D10-60)</f>
        <v/>
      </c>
      <c r="G10" s="38">
        <f>IF(D10="","",D10-30)</f>
        <v/>
      </c>
      <c r="H10" s="39" t="n">
        <v>0</v>
      </c>
      <c r="I10" s="19" t="n">
        <v>2195</v>
      </c>
      <c r="J10" s="40">
        <f>IF(I10="","",IF(ABS(N10-W10)&lt;=ABS(M10-W10),IF(ABS(N10-W10)&lt;=ABS(O10-W10),"Offer 2","Offer 3"),IF(ABS(M10-W10)&lt;=ABS(O10-W10),"Offer 1","Offer 3")))</f>
        <v/>
      </c>
      <c r="K10" s="78" t="n"/>
      <c r="L10" s="41">
        <f>IF(OR(I10="",K10=""),"",CEILING(I10*(1+K10),5))</f>
        <v/>
      </c>
      <c r="M10" s="41">
        <f>IF(I10="","",IF(X10="Under",CEILING(MAX(I10*1.02,MIN(V10,W10)*0.95),5),CEILING(MAX(I10*1.03,MIN(V10,W10)*0.97),5)))</f>
        <v/>
      </c>
      <c r="N10" s="41">
        <f>IF(I10="","",IF(X10="Under",CEILING(MAX(I10*1.03,(V10+W10)/2*0.96),5),CEILING(MAX(I10*1.05,(V10+W10)/2*0.98),5)))</f>
        <v/>
      </c>
      <c r="O10" s="41">
        <f>IF(I10="","",IF(X10="Under",CEILING(MAX(I10*1.05,MIN(V10,W10*1.01)),5),CEILING(MAX(I10*1.08,MIN(V10,W10*1.02)),5)))</f>
        <v/>
      </c>
      <c r="P10" s="18" t="n"/>
      <c r="Q10" s="18" t="n"/>
      <c r="R10" s="18" t="n"/>
      <c r="S10" s="18" t="n"/>
      <c r="T10" s="18" t="n"/>
      <c r="U10" s="18" t="n"/>
      <c r="V10" s="41">
        <f>IF(C10="","",IFERROR(VLOOKUP(C10,SETUP!$A$9:$D$18,2,0),"⚠ Check SETUP"))</f>
        <v/>
      </c>
      <c r="W10" s="41">
        <f>IF(C10="","",IFERROR(VLOOKUP(C10,SETUP!$A$9:$D$18,3,0),"⚠ Check SETUP"))</f>
        <v/>
      </c>
      <c r="X10" s="40">
        <f>IF(C10="","",IFERROR(VLOOKUP(C10,SETUP!$A$9:$D$18,4,0),"⚠ Check SETUP"))</f>
        <v/>
      </c>
      <c r="Y10" s="42">
        <f>IF(OR(I10="",M10=""),"",(M10-I10)/I10)</f>
        <v/>
      </c>
      <c r="Z10" s="42">
        <f>IF(OR(I10="",N10=""),"",(N10-I10)/I10)</f>
        <v/>
      </c>
      <c r="AA10" s="42">
        <f>IF(OR(I10="",O10=""),"",(O10-I10)/I10)</f>
        <v/>
      </c>
      <c r="AB10" s="42">
        <f>IF(OR(Q10="",S10&lt;&gt;"",P10="",I10=""),"",IF(P10="Investor Override",IF(L10="","",(L10-I10)/I10),IF(P10="Offer 1",IF(M10="","",(M10-I10)/I10),IF(P10="Offer 2",IF(N10="","",(N10-I10)/I10),IF(P10="Offer 3",IF(O10="","",(O10-I10)/I10),"")))))</f>
        <v/>
      </c>
    </row>
    <row r="11" ht="19.5" customHeight="1">
      <c r="A11" s="20" t="inlineStr">
        <is>
          <t>Giovanna Augusto</t>
        </is>
      </c>
      <c r="B11" s="18" t="inlineStr">
        <is>
          <t>2-2032</t>
        </is>
      </c>
      <c r="C11" s="18" t="inlineStr">
        <is>
          <t>B1</t>
        </is>
      </c>
      <c r="D11" s="37" t="n">
        <v>46213</v>
      </c>
      <c r="E11" s="38">
        <f>IF(D11="","",D11-90)</f>
        <v/>
      </c>
      <c r="F11" s="38">
        <f>IF(D11="","",D11-60)</f>
        <v/>
      </c>
      <c r="G11" s="38">
        <f>IF(D11="","",D11-30)</f>
        <v/>
      </c>
      <c r="H11" s="39" t="n">
        <v>0</v>
      </c>
      <c r="I11" s="19" t="n">
        <v>1895</v>
      </c>
      <c r="J11" s="40">
        <f>IF(I11="","",IF(ABS(N11-W11)&lt;=ABS(M11-W11),IF(ABS(N11-W11)&lt;=ABS(O11-W11),"Offer 2","Offer 3"),IF(ABS(M11-W11)&lt;=ABS(O11-W11),"Offer 1","Offer 3")))</f>
        <v/>
      </c>
      <c r="K11" s="78" t="n"/>
      <c r="L11" s="41">
        <f>IF(OR(I11="",K11=""),"",CEILING(I11*(1+K11),5))</f>
        <v/>
      </c>
      <c r="M11" s="41">
        <f>IF(I11="","",IF(X11="Under",CEILING(MAX(I11*1.02,MIN(V11,W11)*0.95),5),CEILING(MAX(I11*1.03,MIN(V11,W11)*0.97),5)))</f>
        <v/>
      </c>
      <c r="N11" s="41">
        <f>IF(I11="","",IF(X11="Under",CEILING(MAX(I11*1.03,(V11+W11)/2*0.96),5),CEILING(MAX(I11*1.05,(V11+W11)/2*0.98),5)))</f>
        <v/>
      </c>
      <c r="O11" s="41">
        <f>IF(I11="","",IF(X11="Under",CEILING(MAX(I11*1.05,MIN(V11,W11*1.01)),5),CEILING(MAX(I11*1.08,MIN(V11,W11*1.02)),5)))</f>
        <v/>
      </c>
      <c r="P11" s="18" t="n"/>
      <c r="Q11" s="18" t="n"/>
      <c r="R11" s="18" t="n"/>
      <c r="S11" s="18" t="n"/>
      <c r="T11" s="18" t="n"/>
      <c r="U11" s="18" t="n"/>
      <c r="V11" s="41">
        <f>IF(C11="","",IFERROR(VLOOKUP(C11,SETUP!$A$9:$D$18,2,0),"⚠ Check SETUP"))</f>
        <v/>
      </c>
      <c r="W11" s="41">
        <f>IF(C11="","",IFERROR(VLOOKUP(C11,SETUP!$A$9:$D$18,3,0),"⚠ Check SETUP"))</f>
        <v/>
      </c>
      <c r="X11" s="40">
        <f>IF(C11="","",IFERROR(VLOOKUP(C11,SETUP!$A$9:$D$18,4,0),"⚠ Check SETUP"))</f>
        <v/>
      </c>
      <c r="Y11" s="42">
        <f>IF(OR(I11="",M11=""),"",(M11-I11)/I11)</f>
        <v/>
      </c>
      <c r="Z11" s="42">
        <f>IF(OR(I11="",N11=""),"",(N11-I11)/I11)</f>
        <v/>
      </c>
      <c r="AA11" s="42">
        <f>IF(OR(I11="",O11=""),"",(O11-I11)/I11)</f>
        <v/>
      </c>
      <c r="AB11" s="42">
        <f>IF(OR(Q11="",S11&lt;&gt;"",P11="",I11=""),"",IF(P11="Investor Override",IF(L11="","",(L11-I11)/I11),IF(P11="Offer 1",IF(M11="","",(M11-I11)/I11),IF(P11="Offer 2",IF(N11="","",(N11-I11)/I11),IF(P11="Offer 3",IF(O11="","",(O11-I11)/I11),"")))))</f>
        <v/>
      </c>
    </row>
    <row r="12" ht="19.5" customHeight="1">
      <c r="A12" s="20" t="inlineStr">
        <is>
          <t>Olvin Ponce</t>
        </is>
      </c>
      <c r="B12" s="18" t="inlineStr">
        <is>
          <t>17-2327</t>
        </is>
      </c>
      <c r="C12" s="18" t="inlineStr">
        <is>
          <t>C1</t>
        </is>
      </c>
      <c r="D12" s="37" t="n">
        <v>46215</v>
      </c>
      <c r="E12" s="38">
        <f>IF(D12="","",D12-90)</f>
        <v/>
      </c>
      <c r="F12" s="38">
        <f>IF(D12="","",D12-60)</f>
        <v/>
      </c>
      <c r="G12" s="38">
        <f>IF(D12="","",D12-30)</f>
        <v/>
      </c>
      <c r="H12" s="39" t="n">
        <v>500</v>
      </c>
      <c r="I12" s="19" t="n">
        <v>2395</v>
      </c>
      <c r="J12" s="40">
        <f>IF(I12="","",IF(ABS(N12-W12)&lt;=ABS(M12-W12),IF(ABS(N12-W12)&lt;=ABS(O12-W12),"Offer 2","Offer 3"),IF(ABS(M12-W12)&lt;=ABS(O12-W12),"Offer 1","Offer 3")))</f>
        <v/>
      </c>
      <c r="K12" s="78" t="n"/>
      <c r="L12" s="41">
        <f>IF(OR(I12="",K12=""),"",CEILING(I12*(1+K12),5))</f>
        <v/>
      </c>
      <c r="M12" s="41">
        <f>IF(I12="","",IF(X12="Under",CEILING(MAX(I12*1.02,MIN(V12,W12)*0.95),5),CEILING(MAX(I12*1.03,MIN(V12,W12)*0.97),5)))</f>
        <v/>
      </c>
      <c r="N12" s="41">
        <f>IF(I12="","",IF(X12="Under",CEILING(MAX(I12*1.03,(V12+W12)/2*0.96),5),CEILING(MAX(I12*1.05,(V12+W12)/2*0.98),5)))</f>
        <v/>
      </c>
      <c r="O12" s="41">
        <f>IF(I12="","",IF(X12="Under",CEILING(MAX(I12*1.05,MIN(V12,W12*1.01)),5),CEILING(MAX(I12*1.08,MIN(V12,W12*1.02)),5)))</f>
        <v/>
      </c>
      <c r="P12" s="18" t="n"/>
      <c r="Q12" s="18" t="n"/>
      <c r="R12" s="18" t="n"/>
      <c r="S12" s="18" t="n"/>
      <c r="T12" s="18" t="n"/>
      <c r="U12" s="18" t="n"/>
      <c r="V12" s="41">
        <f>IF(C12="","",IFERROR(VLOOKUP(C12,SETUP!$A$9:$D$18,2,0),"⚠ Check SETUP"))</f>
        <v/>
      </c>
      <c r="W12" s="41">
        <f>IF(C12="","",IFERROR(VLOOKUP(C12,SETUP!$A$9:$D$18,3,0),"⚠ Check SETUP"))</f>
        <v/>
      </c>
      <c r="X12" s="40">
        <f>IF(C12="","",IFERROR(VLOOKUP(C12,SETUP!$A$9:$D$18,4,0),"⚠ Check SETUP"))</f>
        <v/>
      </c>
      <c r="Y12" s="42">
        <f>IF(OR(I12="",M12=""),"",(M12-I12)/I12)</f>
        <v/>
      </c>
      <c r="Z12" s="42">
        <f>IF(OR(I12="",N12=""),"",(N12-I12)/I12)</f>
        <v/>
      </c>
      <c r="AA12" s="42">
        <f>IF(OR(I12="",O12=""),"",(O12-I12)/I12)</f>
        <v/>
      </c>
      <c r="AB12" s="42">
        <f>IF(OR(Q12="",S12&lt;&gt;"",P12="",I12=""),"",IF(P12="Investor Override",IF(L12="","",(L12-I12)/I12),IF(P12="Offer 1",IF(M12="","",(M12-I12)/I12),IF(P12="Offer 2",IF(N12="","",(N12-I12)/I12),IF(P12="Offer 3",IF(O12="","",(O12-I12)/I12),"")))))</f>
        <v/>
      </c>
    </row>
    <row r="13" ht="19.5" customHeight="1">
      <c r="A13" s="20" t="inlineStr">
        <is>
          <t>Orianna Raaz</t>
        </is>
      </c>
      <c r="B13" s="18" t="inlineStr">
        <is>
          <t>3-2063</t>
        </is>
      </c>
      <c r="C13" s="18" t="inlineStr">
        <is>
          <t>C1</t>
        </is>
      </c>
      <c r="D13" s="37" t="n">
        <v>46228</v>
      </c>
      <c r="E13" s="38">
        <f>IF(D13="","",D13-90)</f>
        <v/>
      </c>
      <c r="F13" s="38">
        <f>IF(D13="","",D13-60)</f>
        <v/>
      </c>
      <c r="G13" s="38">
        <f>IF(D13="","",D13-30)</f>
        <v/>
      </c>
      <c r="H13" s="39" t="n">
        <v>0</v>
      </c>
      <c r="I13" s="19" t="n">
        <v>2395</v>
      </c>
      <c r="J13" s="40">
        <f>IF(I13="","",IF(ABS(N13-W13)&lt;=ABS(M13-W13),IF(ABS(N13-W13)&lt;=ABS(O13-W13),"Offer 2","Offer 3"),IF(ABS(M13-W13)&lt;=ABS(O13-W13),"Offer 1","Offer 3")))</f>
        <v/>
      </c>
      <c r="K13" s="78" t="n"/>
      <c r="L13" s="41">
        <f>IF(OR(I13="",K13=""),"",CEILING(I13*(1+K13),5))</f>
        <v/>
      </c>
      <c r="M13" s="41">
        <f>IF(I13="","",IF(X13="Under",CEILING(MAX(I13*1.02,MIN(V13,W13)*0.95),5),CEILING(MAX(I13*1.03,MIN(V13,W13)*0.97),5)))</f>
        <v/>
      </c>
      <c r="N13" s="41">
        <f>IF(I13="","",IF(X13="Under",CEILING(MAX(I13*1.03,(V13+W13)/2*0.96),5),CEILING(MAX(I13*1.05,(V13+W13)/2*0.98),5)))</f>
        <v/>
      </c>
      <c r="O13" s="41">
        <f>IF(I13="","",IF(X13="Under",CEILING(MAX(I13*1.05,MIN(V13,W13*1.01)),5),CEILING(MAX(I13*1.08,MIN(V13,W13*1.02)),5)))</f>
        <v/>
      </c>
      <c r="P13" s="18" t="n"/>
      <c r="Q13" s="18" t="n"/>
      <c r="R13" s="18" t="n"/>
      <c r="S13" s="18" t="n"/>
      <c r="T13" s="18" t="n"/>
      <c r="U13" s="18" t="n"/>
      <c r="V13" s="41">
        <f>IF(C13="","",IFERROR(VLOOKUP(C13,SETUP!$A$9:$D$18,2,0),"⚠ Check SETUP"))</f>
        <v/>
      </c>
      <c r="W13" s="41">
        <f>IF(C13="","",IFERROR(VLOOKUP(C13,SETUP!$A$9:$D$18,3,0),"⚠ Check SETUP"))</f>
        <v/>
      </c>
      <c r="X13" s="40">
        <f>IF(C13="","",IFERROR(VLOOKUP(C13,SETUP!$A$9:$D$18,4,0),"⚠ Check SETUP"))</f>
        <v/>
      </c>
      <c r="Y13" s="42">
        <f>IF(OR(I13="",M13=""),"",(M13-I13)/I13)</f>
        <v/>
      </c>
      <c r="Z13" s="42">
        <f>IF(OR(I13="",N13=""),"",(N13-I13)/I13)</f>
        <v/>
      </c>
      <c r="AA13" s="42">
        <f>IF(OR(I13="",O13=""),"",(O13-I13)/I13)</f>
        <v/>
      </c>
      <c r="AB13" s="42">
        <f>IF(OR(Q13="",S13&lt;&gt;"",P13="",I13=""),"",IF(P13="Investor Override",IF(L13="","",(L13-I13)/I13),IF(P13="Offer 1",IF(M13="","",(M13-I13)/I13),IF(P13="Offer 2",IF(N13="","",(N13-I13)/I13),IF(P13="Offer 3",IF(O13="","",(O13-I13)/I13),"")))))</f>
        <v/>
      </c>
    </row>
    <row r="14" ht="19.5" customHeight="1">
      <c r="A14" s="20" t="inlineStr">
        <is>
          <t>Shermaine Scott</t>
        </is>
      </c>
      <c r="B14" s="18" t="inlineStr">
        <is>
          <t>18-2361</t>
        </is>
      </c>
      <c r="C14" s="18" t="inlineStr">
        <is>
          <t>C1</t>
        </is>
      </c>
      <c r="D14" s="37" t="n">
        <v>46232</v>
      </c>
      <c r="E14" s="38">
        <f>IF(D14="","",D14-90)</f>
        <v/>
      </c>
      <c r="F14" s="38">
        <f>IF(D14="","",D14-60)</f>
        <v/>
      </c>
      <c r="G14" s="38">
        <f>IF(D14="","",D14-30)</f>
        <v/>
      </c>
      <c r="H14" s="39" t="n">
        <v>0</v>
      </c>
      <c r="I14" s="19" t="n">
        <v>2195</v>
      </c>
      <c r="J14" s="40">
        <f>IF(I14="","",IF(ABS(N14-W14)&lt;=ABS(M14-W14),IF(ABS(N14-W14)&lt;=ABS(O14-W14),"Offer 2","Offer 3"),IF(ABS(M14-W14)&lt;=ABS(O14-W14),"Offer 1","Offer 3")))</f>
        <v/>
      </c>
      <c r="K14" s="78" t="n"/>
      <c r="L14" s="41">
        <f>IF(OR(I14="",K14=""),"",CEILING(I14*(1+K14),5))</f>
        <v/>
      </c>
      <c r="M14" s="41">
        <f>IF(I14="","",IF(X14="Under",CEILING(MAX(I14*1.02,MIN(V14,W14)*0.95),5),CEILING(MAX(I14*1.03,MIN(V14,W14)*0.97),5)))</f>
        <v/>
      </c>
      <c r="N14" s="41">
        <f>IF(I14="","",IF(X14="Under",CEILING(MAX(I14*1.03,(V14+W14)/2*0.96),5),CEILING(MAX(I14*1.05,(V14+W14)/2*0.98),5)))</f>
        <v/>
      </c>
      <c r="O14" s="41">
        <f>IF(I14="","",IF(X14="Under",CEILING(MAX(I14*1.05,MIN(V14,W14*1.01)),5),CEILING(MAX(I14*1.08,MIN(V14,W14*1.02)),5)))</f>
        <v/>
      </c>
      <c r="P14" s="18" t="n"/>
      <c r="Q14" s="18" t="n"/>
      <c r="R14" s="18" t="n"/>
      <c r="S14" s="18" t="n"/>
      <c r="T14" s="18" t="n"/>
      <c r="U14" s="18" t="n"/>
      <c r="V14" s="41">
        <f>IF(C14="","",IFERROR(VLOOKUP(C14,SETUP!$A$9:$D$18,2,0),"⚠ Check SETUP"))</f>
        <v/>
      </c>
      <c r="W14" s="41">
        <f>IF(C14="","",IFERROR(VLOOKUP(C14,SETUP!$A$9:$D$18,3,0),"⚠ Check SETUP"))</f>
        <v/>
      </c>
      <c r="X14" s="40">
        <f>IF(C14="","",IFERROR(VLOOKUP(C14,SETUP!$A$9:$D$18,4,0),"⚠ Check SETUP"))</f>
        <v/>
      </c>
      <c r="Y14" s="42">
        <f>IF(OR(I14="",M14=""),"",(M14-I14)/I14)</f>
        <v/>
      </c>
      <c r="Z14" s="42">
        <f>IF(OR(I14="",N14=""),"",(N14-I14)/I14)</f>
        <v/>
      </c>
      <c r="AA14" s="42">
        <f>IF(OR(I14="",O14=""),"",(O14-I14)/I14)</f>
        <v/>
      </c>
      <c r="AB14" s="42">
        <f>IF(OR(Q14="",S14&lt;&gt;"",P14="",I14=""),"",IF(P14="Investor Override",IF(L14="","",(L14-I14)/I14),IF(P14="Offer 1",IF(M14="","",(M14-I14)/I14),IF(P14="Offer 2",IF(N14="","",(N14-I14)/I14),IF(P14="Offer 3",IF(O14="","",(O14-I14)/I14),"")))))</f>
        <v/>
      </c>
    </row>
    <row r="15" ht="19.5" customHeight="1">
      <c r="A15" s="20" t="inlineStr">
        <is>
          <t>Deoveyon James</t>
        </is>
      </c>
      <c r="B15" s="18" t="inlineStr">
        <is>
          <t>8-2160</t>
        </is>
      </c>
      <c r="C15" s="18" t="inlineStr">
        <is>
          <t>C1</t>
        </is>
      </c>
      <c r="D15" s="37" t="n">
        <v>46232</v>
      </c>
      <c r="E15" s="38">
        <f>IF(D15="","",D15-90)</f>
        <v/>
      </c>
      <c r="F15" s="38">
        <f>IF(D15="","",D15-60)</f>
        <v/>
      </c>
      <c r="G15" s="38">
        <f>IF(D15="","",D15-30)</f>
        <v/>
      </c>
      <c r="H15" s="39" t="n">
        <v>0</v>
      </c>
      <c r="I15" s="19" t="n">
        <v>2095</v>
      </c>
      <c r="J15" s="40">
        <f>IF(I15="","",IF(ABS(N15-W15)&lt;=ABS(M15-W15),IF(ABS(N15-W15)&lt;=ABS(O15-W15),"Offer 2","Offer 3"),IF(ABS(M15-W15)&lt;=ABS(O15-W15),"Offer 1","Offer 3")))</f>
        <v/>
      </c>
      <c r="K15" s="78" t="n"/>
      <c r="L15" s="41">
        <f>IF(OR(I15="",K15=""),"",CEILING(I15*(1+K15),5))</f>
        <v/>
      </c>
      <c r="M15" s="41">
        <f>IF(I15="","",IF(X15="Under",CEILING(MAX(I15*1.02,MIN(V15,W15)*0.95),5),CEILING(MAX(I15*1.03,MIN(V15,W15)*0.97),5)))</f>
        <v/>
      </c>
      <c r="N15" s="41">
        <f>IF(I15="","",IF(X15="Under",CEILING(MAX(I15*1.03,(V15+W15)/2*0.96),5),CEILING(MAX(I15*1.05,(V15+W15)/2*0.98),5)))</f>
        <v/>
      </c>
      <c r="O15" s="41">
        <f>IF(I15="","",IF(X15="Under",CEILING(MAX(I15*1.05,MIN(V15,W15*1.01)),5),CEILING(MAX(I15*1.08,MIN(V15,W15*1.02)),5)))</f>
        <v/>
      </c>
      <c r="P15" s="18" t="n"/>
      <c r="Q15" s="18" t="n"/>
      <c r="R15" s="18" t="n"/>
      <c r="S15" s="18" t="n"/>
      <c r="T15" s="18" t="n"/>
      <c r="U15" s="18" t="n"/>
      <c r="V15" s="41">
        <f>IF(C15="","",IFERROR(VLOOKUP(C15,SETUP!$A$9:$D$18,2,0),"⚠ Check SETUP"))</f>
        <v/>
      </c>
      <c r="W15" s="41">
        <f>IF(C15="","",IFERROR(VLOOKUP(C15,SETUP!$A$9:$D$18,3,0),"⚠ Check SETUP"))</f>
        <v/>
      </c>
      <c r="X15" s="40">
        <f>IF(C15="","",IFERROR(VLOOKUP(C15,SETUP!$A$9:$D$18,4,0),"⚠ Check SETUP"))</f>
        <v/>
      </c>
      <c r="Y15" s="42">
        <f>IF(OR(I15="",M15=""),"",(M15-I15)/I15)</f>
        <v/>
      </c>
      <c r="Z15" s="42">
        <f>IF(OR(I15="",N15=""),"",(N15-I15)/I15)</f>
        <v/>
      </c>
      <c r="AA15" s="42">
        <f>IF(OR(I15="",O15=""),"",(O15-I15)/I15)</f>
        <v/>
      </c>
      <c r="AB15" s="42">
        <f>IF(OR(Q15="",S15&lt;&gt;"",P15="",I15=""),"",IF(P15="Investor Override",IF(L15="","",(L15-I15)/I15),IF(P15="Offer 1",IF(M15="","",(M15-I15)/I15),IF(P15="Offer 2",IF(N15="","",(N15-I15)/I15),IF(P15="Offer 3",IF(O15="","",(O15-I15)/I15),"")))))</f>
        <v/>
      </c>
    </row>
    <row r="16" ht="19.5" customHeight="1">
      <c r="A16" s="20" t="inlineStr">
        <is>
          <t>Serrita Conyers</t>
        </is>
      </c>
      <c r="B16" s="18" t="inlineStr">
        <is>
          <t>10-2228</t>
        </is>
      </c>
      <c r="C16" s="18" t="inlineStr">
        <is>
          <t>C1</t>
        </is>
      </c>
      <c r="D16" s="37" t="n">
        <v>46234</v>
      </c>
      <c r="E16" s="38">
        <f>IF(D16="","",D16-90)</f>
        <v/>
      </c>
      <c r="F16" s="38">
        <f>IF(D16="","",D16-60)</f>
        <v/>
      </c>
      <c r="G16" s="38">
        <f>IF(D16="","",D16-30)</f>
        <v/>
      </c>
      <c r="H16" s="39" t="n">
        <v>0</v>
      </c>
      <c r="I16" s="19" t="n">
        <v>2395</v>
      </c>
      <c r="J16" s="40">
        <f>IF(I16="","",IF(ABS(N16-W16)&lt;=ABS(M16-W16),IF(ABS(N16-W16)&lt;=ABS(O16-W16),"Offer 2","Offer 3"),IF(ABS(M16-W16)&lt;=ABS(O16-W16),"Offer 1","Offer 3")))</f>
        <v/>
      </c>
      <c r="K16" s="78" t="n"/>
      <c r="L16" s="41">
        <f>IF(OR(I16="",K16=""),"",CEILING(I16*(1+K16),5))</f>
        <v/>
      </c>
      <c r="M16" s="41">
        <f>IF(I16="","",IF(X16="Under",CEILING(MAX(I16*1.02,MIN(V16,W16)*0.95),5),CEILING(MAX(I16*1.03,MIN(V16,W16)*0.97),5)))</f>
        <v/>
      </c>
      <c r="N16" s="41">
        <f>IF(I16="","",IF(X16="Under",CEILING(MAX(I16*1.03,(V16+W16)/2*0.96),5),CEILING(MAX(I16*1.05,(V16+W16)/2*0.98),5)))</f>
        <v/>
      </c>
      <c r="O16" s="41">
        <f>IF(I16="","",IF(X16="Under",CEILING(MAX(I16*1.05,MIN(V16,W16*1.01)),5),CEILING(MAX(I16*1.08,MIN(V16,W16*1.02)),5)))</f>
        <v/>
      </c>
      <c r="P16" s="18" t="n"/>
      <c r="Q16" s="18" t="n"/>
      <c r="R16" s="18" t="n"/>
      <c r="S16" s="18" t="n"/>
      <c r="T16" s="18" t="n"/>
      <c r="U16" s="18" t="n"/>
      <c r="V16" s="41">
        <f>IF(C16="","",IFERROR(VLOOKUP(C16,SETUP!$A$9:$D$18,2,0),"⚠ Check SETUP"))</f>
        <v/>
      </c>
      <c r="W16" s="41">
        <f>IF(C16="","",IFERROR(VLOOKUP(C16,SETUP!$A$9:$D$18,3,0),"⚠ Check SETUP"))</f>
        <v/>
      </c>
      <c r="X16" s="40">
        <f>IF(C16="","",IFERROR(VLOOKUP(C16,SETUP!$A$9:$D$18,4,0),"⚠ Check SETUP"))</f>
        <v/>
      </c>
      <c r="Y16" s="42">
        <f>IF(OR(I16="",M16=""),"",(M16-I16)/I16)</f>
        <v/>
      </c>
      <c r="Z16" s="42">
        <f>IF(OR(I16="",N16=""),"",(N16-I16)/I16)</f>
        <v/>
      </c>
      <c r="AA16" s="42">
        <f>IF(OR(I16="",O16=""),"",(O16-I16)/I16)</f>
        <v/>
      </c>
      <c r="AB16" s="42">
        <f>IF(OR(Q16="",S16&lt;&gt;"",P16="",I16=""),"",IF(P16="Investor Override",IF(L16="","",(L16-I16)/I16),IF(P16="Offer 1",IF(M16="","",(M16-I16)/I16),IF(P16="Offer 2",IF(N16="","",(N16-I16)/I16),IF(P16="Offer 3",IF(O16="","",(O16-I16)/I16),"")))))</f>
        <v/>
      </c>
    </row>
    <row r="17" ht="19.5" customHeight="1">
      <c r="A17" s="20" t="inlineStr">
        <is>
          <t>Elienid Coke</t>
        </is>
      </c>
      <c r="B17" s="18" t="inlineStr">
        <is>
          <t>18-2357</t>
        </is>
      </c>
      <c r="C17" s="18" t="inlineStr">
        <is>
          <t>C1</t>
        </is>
      </c>
      <c r="D17" s="37" t="n">
        <v>46234</v>
      </c>
      <c r="E17" s="38">
        <f>IF(D17="","",D17-90)</f>
        <v/>
      </c>
      <c r="F17" s="38">
        <f>IF(D17="","",D17-60)</f>
        <v/>
      </c>
      <c r="G17" s="38">
        <f>IF(D17="","",D17-30)</f>
        <v/>
      </c>
      <c r="H17" s="39" t="n">
        <v>2195</v>
      </c>
      <c r="I17" s="19" t="n">
        <v>2195</v>
      </c>
      <c r="J17" s="40">
        <f>IF(I17="","",IF(ABS(N17-W17)&lt;=ABS(M17-W17),IF(ABS(N17-W17)&lt;=ABS(O17-W17),"Offer 2","Offer 3"),IF(ABS(M17-W17)&lt;=ABS(O17-W17),"Offer 1","Offer 3")))</f>
        <v/>
      </c>
      <c r="K17" s="78" t="n"/>
      <c r="L17" s="41">
        <f>IF(OR(I17="",K17=""),"",CEILING(I17*(1+K17),5))</f>
        <v/>
      </c>
      <c r="M17" s="41">
        <f>IF(I17="","",IF(X17="Under",CEILING(MAX(I17*1.02,MIN(V17,W17)*0.95),5),CEILING(MAX(I17*1.03,MIN(V17,W17)*0.97),5)))</f>
        <v/>
      </c>
      <c r="N17" s="41">
        <f>IF(I17="","",IF(X17="Under",CEILING(MAX(I17*1.03,(V17+W17)/2*0.96),5),CEILING(MAX(I17*1.05,(V17+W17)/2*0.98),5)))</f>
        <v/>
      </c>
      <c r="O17" s="41">
        <f>IF(I17="","",IF(X17="Under",CEILING(MAX(I17*1.05,MIN(V17,W17*1.01)),5),CEILING(MAX(I17*1.08,MIN(V17,W17*1.02)),5)))</f>
        <v/>
      </c>
      <c r="P17" s="18" t="n"/>
      <c r="Q17" s="18" t="n"/>
      <c r="R17" s="18" t="n"/>
      <c r="S17" s="18" t="n"/>
      <c r="T17" s="18" t="n"/>
      <c r="U17" s="18" t="n"/>
      <c r="V17" s="41">
        <f>IF(C17="","",IFERROR(VLOOKUP(C17,SETUP!$A$9:$D$18,2,0),"⚠ Check SETUP"))</f>
        <v/>
      </c>
      <c r="W17" s="41">
        <f>IF(C17="","",IFERROR(VLOOKUP(C17,SETUP!$A$9:$D$18,3,0),"⚠ Check SETUP"))</f>
        <v/>
      </c>
      <c r="X17" s="40">
        <f>IF(C17="","",IFERROR(VLOOKUP(C17,SETUP!$A$9:$D$18,4,0),"⚠ Check SETUP"))</f>
        <v/>
      </c>
      <c r="Y17" s="42">
        <f>IF(OR(I17="",M17=""),"",(M17-I17)/I17)</f>
        <v/>
      </c>
      <c r="Z17" s="42">
        <f>IF(OR(I17="",N17=""),"",(N17-I17)/I17)</f>
        <v/>
      </c>
      <c r="AA17" s="42">
        <f>IF(OR(I17="",O17=""),"",(O17-I17)/I17)</f>
        <v/>
      </c>
      <c r="AB17" s="42">
        <f>IF(OR(Q17="",S17&lt;&gt;"",P17="",I17=""),"",IF(P17="Investor Override",IF(L17="","",(L17-I17)/I17),IF(P17="Offer 1",IF(M17="","",(M17-I17)/I17),IF(P17="Offer 2",IF(N17="","",(N17-I17)/I17),IF(P17="Offer 3",IF(O17="","",(O17-I17)/I17),"")))))</f>
        <v/>
      </c>
    </row>
    <row r="18" ht="19.5" customHeight="1">
      <c r="A18" s="20" t="n"/>
      <c r="B18" s="18" t="n"/>
      <c r="C18" s="18" t="n"/>
      <c r="D18" s="37" t="n"/>
      <c r="E18" s="38">
        <f>IF(D18="","",D18-90)</f>
        <v/>
      </c>
      <c r="F18" s="38">
        <f>IF(D18="","",D18-60)</f>
        <v/>
      </c>
      <c r="G18" s="38">
        <f>IF(D18="","",D18-30)</f>
        <v/>
      </c>
      <c r="H18" s="39" t="n"/>
      <c r="I18" s="19" t="n"/>
      <c r="J18" s="40">
        <f>IF(I18="","",IF(ABS(N18-W18)&lt;=ABS(M18-W18),IF(ABS(N18-W18)&lt;=ABS(O18-W18),"Offer 2","Offer 3"),IF(ABS(M18-W18)&lt;=ABS(O18-W18),"Offer 1","Offer 3")))</f>
        <v/>
      </c>
      <c r="K18" s="78" t="n"/>
      <c r="L18" s="41">
        <f>IF(OR(I18="",K18=""),"",CEILING(I18*(1+K18),5))</f>
        <v/>
      </c>
      <c r="M18" s="41">
        <f>IF(I18="","",IF(X18="Under",CEILING(MAX(I18*1.02,MIN(V18,W18)*0.95),5),CEILING(MAX(I18*1.03,MIN(V18,W18)*0.97),5)))</f>
        <v/>
      </c>
      <c r="N18" s="41">
        <f>IF(I18="","",IF(X18="Under",CEILING(MAX(I18*1.03,(V18+W18)/2*0.96),5),CEILING(MAX(I18*1.05,(V18+W18)/2*0.98),5)))</f>
        <v/>
      </c>
      <c r="O18" s="41">
        <f>IF(I18="","",IF(X18="Under",CEILING(MAX(I18*1.05,MIN(V18,W18*1.01)),5),CEILING(MAX(I18*1.08,MIN(V18,W18*1.02)),5)))</f>
        <v/>
      </c>
      <c r="P18" s="18" t="n"/>
      <c r="Q18" s="18" t="n"/>
      <c r="R18" s="18" t="n"/>
      <c r="S18" s="18" t="n"/>
      <c r="T18" s="18" t="n"/>
      <c r="U18" s="18" t="n"/>
      <c r="V18" s="41">
        <f>IF(C18="","",IFERROR(VLOOKUP(C18,SETUP!$A$9:$D$18,2,0),"⚠ Check SETUP"))</f>
        <v/>
      </c>
      <c r="W18" s="41">
        <f>IF(C18="","",IFERROR(VLOOKUP(C18,SETUP!$A$9:$D$18,3,0),"⚠ Check SETUP"))</f>
        <v/>
      </c>
      <c r="X18" s="40">
        <f>IF(C18="","",IFERROR(VLOOKUP(C18,SETUP!$A$9:$D$18,4,0),"⚠ Check SETUP"))</f>
        <v/>
      </c>
      <c r="Y18" s="42">
        <f>IF(OR(I18="",M18=""),"",(M18-I18)/I18)</f>
        <v/>
      </c>
      <c r="Z18" s="42">
        <f>IF(OR(I18="",N18=""),"",(N18-I18)/I18)</f>
        <v/>
      </c>
      <c r="AA18" s="42">
        <f>IF(OR(I18="",O18=""),"",(O18-I18)/I18)</f>
        <v/>
      </c>
      <c r="AB18" s="42">
        <f>IF(OR(Q18="",S18&lt;&gt;"",P18="",I18=""),"",IF(P18="Investor Override",IF(L18="","",(L18-I18)/I18),IF(P18="Offer 1",IF(M18="","",(M18-I18)/I18),IF(P18="Offer 2",IF(N18="","",(N18-I18)/I18),IF(P18="Offer 3",IF(O18="","",(O18-I18)/I18),"")))))</f>
        <v/>
      </c>
    </row>
    <row r="19" ht="19.5" customHeight="1">
      <c r="A19" s="20" t="n"/>
      <c r="B19" s="18" t="n"/>
      <c r="C19" s="18" t="n"/>
      <c r="D19" s="37" t="n"/>
      <c r="E19" s="38">
        <f>IF(D19="","",D19-90)</f>
        <v/>
      </c>
      <c r="F19" s="38">
        <f>IF(D19="","",D19-60)</f>
        <v/>
      </c>
      <c r="G19" s="38">
        <f>IF(D19="","",D19-30)</f>
        <v/>
      </c>
      <c r="H19" s="39" t="n"/>
      <c r="I19" s="19" t="n"/>
      <c r="J19" s="40">
        <f>IF(I19="","",IF(ABS(N19-W19)&lt;=ABS(M19-W19),IF(ABS(N19-W19)&lt;=ABS(O19-W19),"Offer 2","Offer 3"),IF(ABS(M19-W19)&lt;=ABS(O19-W19),"Offer 1","Offer 3")))</f>
        <v/>
      </c>
      <c r="K19" s="78" t="n"/>
      <c r="L19" s="41">
        <f>IF(OR(I19="",K19=""),"",CEILING(I19*(1+K19),5))</f>
        <v/>
      </c>
      <c r="M19" s="41">
        <f>IF(I19="","",IF(X19="Under",CEILING(MAX(I19*1.02,MIN(V19,W19)*0.95),5),CEILING(MAX(I19*1.03,MIN(V19,W19)*0.97),5)))</f>
        <v/>
      </c>
      <c r="N19" s="41">
        <f>IF(I19="","",IF(X19="Under",CEILING(MAX(I19*1.03,(V19+W19)/2*0.96),5),CEILING(MAX(I19*1.05,(V19+W19)/2*0.98),5)))</f>
        <v/>
      </c>
      <c r="O19" s="41">
        <f>IF(I19="","",IF(X19="Under",CEILING(MAX(I19*1.05,MIN(V19,W19*1.01)),5),CEILING(MAX(I19*1.08,MIN(V19,W19*1.02)),5)))</f>
        <v/>
      </c>
      <c r="P19" s="18" t="n"/>
      <c r="Q19" s="18" t="n"/>
      <c r="R19" s="18" t="n"/>
      <c r="S19" s="18" t="n"/>
      <c r="T19" s="18" t="n"/>
      <c r="U19" s="18" t="n"/>
      <c r="V19" s="41">
        <f>IF(C19="","",IFERROR(VLOOKUP(C19,SETUP!$A$9:$D$18,2,0),"⚠ Check SETUP"))</f>
        <v/>
      </c>
      <c r="W19" s="41">
        <f>IF(C19="","",IFERROR(VLOOKUP(C19,SETUP!$A$9:$D$18,3,0),"⚠ Check SETUP"))</f>
        <v/>
      </c>
      <c r="X19" s="40">
        <f>IF(C19="","",IFERROR(VLOOKUP(C19,SETUP!$A$9:$D$18,4,0),"⚠ Check SETUP"))</f>
        <v/>
      </c>
      <c r="Y19" s="42">
        <f>IF(OR(I19="",M19=""),"",(M19-I19)/I19)</f>
        <v/>
      </c>
      <c r="Z19" s="42">
        <f>IF(OR(I19="",N19=""),"",(N19-I19)/I19)</f>
        <v/>
      </c>
      <c r="AA19" s="42">
        <f>IF(OR(I19="",O19=""),"",(O19-I19)/I19)</f>
        <v/>
      </c>
      <c r="AB19" s="42">
        <f>IF(OR(Q19="",S19&lt;&gt;"",P19="",I19=""),"",IF(P19="Investor Override",IF(L19="","",(L19-I19)/I19),IF(P19="Offer 1",IF(M19="","",(M19-I19)/I19),IF(P19="Offer 2",IF(N19="","",(N19-I19)/I19),IF(P19="Offer 3",IF(O19="","",(O19-I19)/I19),"")))))</f>
        <v/>
      </c>
    </row>
    <row r="20" ht="19.5" customHeight="1">
      <c r="A20" s="20" t="n"/>
      <c r="B20" s="18" t="n"/>
      <c r="C20" s="18" t="n"/>
      <c r="D20" s="37" t="n"/>
      <c r="E20" s="38">
        <f>IF(D20="","",D20-90)</f>
        <v/>
      </c>
      <c r="F20" s="38">
        <f>IF(D20="","",D20-60)</f>
        <v/>
      </c>
      <c r="G20" s="38">
        <f>IF(D20="","",D20-30)</f>
        <v/>
      </c>
      <c r="H20" s="39" t="n"/>
      <c r="I20" s="19" t="n"/>
      <c r="J20" s="40">
        <f>IF(I20="","",IF(ABS(N20-W20)&lt;=ABS(M20-W20),IF(ABS(N20-W20)&lt;=ABS(O20-W20),"Offer 2","Offer 3"),IF(ABS(M20-W20)&lt;=ABS(O20-W20),"Offer 1","Offer 3")))</f>
        <v/>
      </c>
      <c r="K20" s="78" t="n"/>
      <c r="L20" s="41">
        <f>IF(OR(I20="",K20=""),"",CEILING(I20*(1+K20),5))</f>
        <v/>
      </c>
      <c r="M20" s="41">
        <f>IF(I20="","",IF(X20="Under",CEILING(MAX(I20*1.02,MIN(V20,W20)*0.95),5),CEILING(MAX(I20*1.03,MIN(V20,W20)*0.97),5)))</f>
        <v/>
      </c>
      <c r="N20" s="41">
        <f>IF(I20="","",IF(X20="Under",CEILING(MAX(I20*1.03,(V20+W20)/2*0.96),5),CEILING(MAX(I20*1.05,(V20+W20)/2*0.98),5)))</f>
        <v/>
      </c>
      <c r="O20" s="41">
        <f>IF(I20="","",IF(X20="Under",CEILING(MAX(I20*1.05,MIN(V20,W20*1.01)),5),CEILING(MAX(I20*1.08,MIN(V20,W20*1.02)),5)))</f>
        <v/>
      </c>
      <c r="P20" s="18" t="n"/>
      <c r="Q20" s="18" t="n"/>
      <c r="R20" s="18" t="n"/>
      <c r="S20" s="18" t="n"/>
      <c r="T20" s="18" t="n"/>
      <c r="U20" s="18" t="n"/>
      <c r="V20" s="41">
        <f>IF(C20="","",IFERROR(VLOOKUP(C20,SETUP!$A$9:$D$18,2,0),"⚠ Check SETUP"))</f>
        <v/>
      </c>
      <c r="W20" s="41">
        <f>IF(C20="","",IFERROR(VLOOKUP(C20,SETUP!$A$9:$D$18,3,0),"⚠ Check SETUP"))</f>
        <v/>
      </c>
      <c r="X20" s="40">
        <f>IF(C20="","",IFERROR(VLOOKUP(C20,SETUP!$A$9:$D$18,4,0),"⚠ Check SETUP"))</f>
        <v/>
      </c>
      <c r="Y20" s="42">
        <f>IF(OR(I20="",M20=""),"",(M20-I20)/I20)</f>
        <v/>
      </c>
      <c r="Z20" s="42">
        <f>IF(OR(I20="",N20=""),"",(N20-I20)/I20)</f>
        <v/>
      </c>
      <c r="AA20" s="42">
        <f>IF(OR(I20="",O20=""),"",(O20-I20)/I20)</f>
        <v/>
      </c>
      <c r="AB20" s="42">
        <f>IF(OR(Q20="",S20&lt;&gt;"",P20="",I20=""),"",IF(P20="Investor Override",IF(L20="","",(L20-I20)/I20),IF(P20="Offer 1",IF(M20="","",(M20-I20)/I20),IF(P20="Offer 2",IF(N20="","",(N20-I20)/I20),IF(P20="Offer 3",IF(O20="","",(O20-I20)/I20),"")))))</f>
        <v/>
      </c>
    </row>
    <row r="21" ht="19.5" customHeight="1">
      <c r="A21" s="20" t="n"/>
      <c r="B21" s="18" t="n"/>
      <c r="C21" s="18" t="n"/>
      <c r="D21" s="37" t="n"/>
      <c r="E21" s="38">
        <f>IF(D21="","",D21-90)</f>
        <v/>
      </c>
      <c r="F21" s="38">
        <f>IF(D21="","",D21-60)</f>
        <v/>
      </c>
      <c r="G21" s="38">
        <f>IF(D21="","",D21-30)</f>
        <v/>
      </c>
      <c r="H21" s="39" t="n"/>
      <c r="I21" s="19" t="n"/>
      <c r="J21" s="40">
        <f>IF(I21="","",IF(ABS(N21-W21)&lt;=ABS(M21-W21),IF(ABS(N21-W21)&lt;=ABS(O21-W21),"Offer 2","Offer 3"),IF(ABS(M21-W21)&lt;=ABS(O21-W21),"Offer 1","Offer 3")))</f>
        <v/>
      </c>
      <c r="K21" s="78" t="n"/>
      <c r="L21" s="41">
        <f>IF(OR(I21="",K21=""),"",CEILING(I21*(1+K21),5))</f>
        <v/>
      </c>
      <c r="M21" s="41">
        <f>IF(I21="","",IF(X21="Under",CEILING(MAX(I21*1.02,MIN(V21,W21)*0.95),5),CEILING(MAX(I21*1.03,MIN(V21,W21)*0.97),5)))</f>
        <v/>
      </c>
      <c r="N21" s="41">
        <f>IF(I21="","",IF(X21="Under",CEILING(MAX(I21*1.03,(V21+W21)/2*0.96),5),CEILING(MAX(I21*1.05,(V21+W21)/2*0.98),5)))</f>
        <v/>
      </c>
      <c r="O21" s="41">
        <f>IF(I21="","",IF(X21="Under",CEILING(MAX(I21*1.05,MIN(V21,W21*1.01)),5),CEILING(MAX(I21*1.08,MIN(V21,W21*1.02)),5)))</f>
        <v/>
      </c>
      <c r="P21" s="18" t="n"/>
      <c r="Q21" s="18" t="n"/>
      <c r="R21" s="18" t="n"/>
      <c r="S21" s="18" t="n"/>
      <c r="T21" s="18" t="n"/>
      <c r="U21" s="18" t="n"/>
      <c r="V21" s="41">
        <f>IF(C21="","",IFERROR(VLOOKUP(C21,SETUP!$A$9:$D$18,2,0),"⚠ Check SETUP"))</f>
        <v/>
      </c>
      <c r="W21" s="41">
        <f>IF(C21="","",IFERROR(VLOOKUP(C21,SETUP!$A$9:$D$18,3,0),"⚠ Check SETUP"))</f>
        <v/>
      </c>
      <c r="X21" s="40">
        <f>IF(C21="","",IFERROR(VLOOKUP(C21,SETUP!$A$9:$D$18,4,0),"⚠ Check SETUP"))</f>
        <v/>
      </c>
      <c r="Y21" s="42">
        <f>IF(OR(I21="",M21=""),"",(M21-I21)/I21)</f>
        <v/>
      </c>
      <c r="Z21" s="42">
        <f>IF(OR(I21="",N21=""),"",(N21-I21)/I21)</f>
        <v/>
      </c>
      <c r="AA21" s="42">
        <f>IF(OR(I21="",O21=""),"",(O21-I21)/I21)</f>
        <v/>
      </c>
      <c r="AB21" s="42">
        <f>IF(OR(Q21="",S21&lt;&gt;"",P21="",I21=""),"",IF(P21="Investor Override",IF(L21="","",(L21-I21)/I21),IF(P21="Offer 1",IF(M21="","",(M21-I21)/I21),IF(P21="Offer 2",IF(N21="","",(N21-I21)/I21),IF(P21="Offer 3",IF(O21="","",(O21-I21)/I21),"")))))</f>
        <v/>
      </c>
    </row>
    <row r="22" ht="19.5" customHeight="1">
      <c r="A22" s="20" t="n"/>
      <c r="B22" s="18" t="n"/>
      <c r="C22" s="18" t="n"/>
      <c r="D22" s="37" t="n"/>
      <c r="E22" s="38">
        <f>IF(D22="","",D22-90)</f>
        <v/>
      </c>
      <c r="F22" s="38">
        <f>IF(D22="","",D22-60)</f>
        <v/>
      </c>
      <c r="G22" s="38">
        <f>IF(D22="","",D22-30)</f>
        <v/>
      </c>
      <c r="H22" s="39" t="n"/>
      <c r="I22" s="19" t="n"/>
      <c r="J22" s="40">
        <f>IF(I22="","",IF(ABS(N22-W22)&lt;=ABS(M22-W22),IF(ABS(N22-W22)&lt;=ABS(O22-W22),"Offer 2","Offer 3"),IF(ABS(M22-W22)&lt;=ABS(O22-W22),"Offer 1","Offer 3")))</f>
        <v/>
      </c>
      <c r="K22" s="78" t="n"/>
      <c r="L22" s="41">
        <f>IF(OR(I22="",K22=""),"",CEILING(I22*(1+K22),5))</f>
        <v/>
      </c>
      <c r="M22" s="41">
        <f>IF(I22="","",IF(X22="Under",CEILING(MAX(I22*1.02,MIN(V22,W22)*0.95),5),CEILING(MAX(I22*1.03,MIN(V22,W22)*0.97),5)))</f>
        <v/>
      </c>
      <c r="N22" s="41">
        <f>IF(I22="","",IF(X22="Under",CEILING(MAX(I22*1.03,(V22+W22)/2*0.96),5),CEILING(MAX(I22*1.05,(V22+W22)/2*0.98),5)))</f>
        <v/>
      </c>
      <c r="O22" s="41">
        <f>IF(I22="","",IF(X22="Under",CEILING(MAX(I22*1.05,MIN(V22,W22*1.01)),5),CEILING(MAX(I22*1.08,MIN(V22,W22*1.02)),5)))</f>
        <v/>
      </c>
      <c r="P22" s="18" t="n"/>
      <c r="Q22" s="18" t="n"/>
      <c r="R22" s="18" t="n"/>
      <c r="S22" s="18" t="n"/>
      <c r="T22" s="18" t="n"/>
      <c r="U22" s="18" t="n"/>
      <c r="V22" s="41">
        <f>IF(C22="","",IFERROR(VLOOKUP(C22,SETUP!$A$9:$D$18,2,0),"⚠ Check SETUP"))</f>
        <v/>
      </c>
      <c r="W22" s="41">
        <f>IF(C22="","",IFERROR(VLOOKUP(C22,SETUP!$A$9:$D$18,3,0),"⚠ Check SETUP"))</f>
        <v/>
      </c>
      <c r="X22" s="40">
        <f>IF(C22="","",IFERROR(VLOOKUP(C22,SETUP!$A$9:$D$18,4,0),"⚠ Check SETUP"))</f>
        <v/>
      </c>
      <c r="Y22" s="42">
        <f>IF(OR(I22="",M22=""),"",(M22-I22)/I22)</f>
        <v/>
      </c>
      <c r="Z22" s="42">
        <f>IF(OR(I22="",N22=""),"",(N22-I22)/I22)</f>
        <v/>
      </c>
      <c r="AA22" s="42">
        <f>IF(OR(I22="",O22=""),"",(O22-I22)/I22)</f>
        <v/>
      </c>
      <c r="AB22" s="42">
        <f>IF(OR(Q22="",S22&lt;&gt;"",P22="",I22=""),"",IF(P22="Investor Override",IF(L22="","",(L22-I22)/I22),IF(P22="Offer 1",IF(M22="","",(M22-I22)/I22),IF(P22="Offer 2",IF(N22="","",(N22-I22)/I22),IF(P22="Offer 3",IF(O22="","",(O22-I22)/I22),"")))))</f>
        <v/>
      </c>
    </row>
    <row r="23" ht="19.5" customHeight="1">
      <c r="A23" s="20" t="n"/>
      <c r="B23" s="18" t="n"/>
      <c r="C23" s="18" t="n"/>
      <c r="D23" s="37" t="n"/>
      <c r="E23" s="38">
        <f>IF(D23="","",D23-90)</f>
        <v/>
      </c>
      <c r="F23" s="38">
        <f>IF(D23="","",D23-60)</f>
        <v/>
      </c>
      <c r="G23" s="38">
        <f>IF(D23="","",D23-30)</f>
        <v/>
      </c>
      <c r="H23" s="39" t="n"/>
      <c r="I23" s="19" t="n"/>
      <c r="J23" s="40">
        <f>IF(I23="","",IF(ABS(N23-W23)&lt;=ABS(M23-W23),IF(ABS(N23-W23)&lt;=ABS(O23-W23),"Offer 2","Offer 3"),IF(ABS(M23-W23)&lt;=ABS(O23-W23),"Offer 1","Offer 3")))</f>
        <v/>
      </c>
      <c r="K23" s="78" t="n"/>
      <c r="L23" s="41">
        <f>IF(OR(I23="",K23=""),"",CEILING(I23*(1+K23),5))</f>
        <v/>
      </c>
      <c r="M23" s="41">
        <f>IF(I23="","",IF(X23="Under",CEILING(MAX(I23*1.02,MIN(V23,W23)*0.95),5),CEILING(MAX(I23*1.03,MIN(V23,W23)*0.97),5)))</f>
        <v/>
      </c>
      <c r="N23" s="41">
        <f>IF(I23="","",IF(X23="Under",CEILING(MAX(I23*1.03,(V23+W23)/2*0.96),5),CEILING(MAX(I23*1.05,(V23+W23)/2*0.98),5)))</f>
        <v/>
      </c>
      <c r="O23" s="41">
        <f>IF(I23="","",IF(X23="Under",CEILING(MAX(I23*1.05,MIN(V23,W23*1.01)),5),CEILING(MAX(I23*1.08,MIN(V23,W23*1.02)),5)))</f>
        <v/>
      </c>
      <c r="P23" s="18" t="n"/>
      <c r="Q23" s="18" t="n"/>
      <c r="R23" s="18" t="n"/>
      <c r="S23" s="18" t="n"/>
      <c r="T23" s="18" t="n"/>
      <c r="U23" s="18" t="n"/>
      <c r="V23" s="41">
        <f>IF(C23="","",IFERROR(VLOOKUP(C23,SETUP!$A$9:$D$18,2,0),"⚠ Check SETUP"))</f>
        <v/>
      </c>
      <c r="W23" s="41">
        <f>IF(C23="","",IFERROR(VLOOKUP(C23,SETUP!$A$9:$D$18,3,0),"⚠ Check SETUP"))</f>
        <v/>
      </c>
      <c r="X23" s="40">
        <f>IF(C23="","",IFERROR(VLOOKUP(C23,SETUP!$A$9:$D$18,4,0),"⚠ Check SETUP"))</f>
        <v/>
      </c>
      <c r="Y23" s="42">
        <f>IF(OR(I23="",M23=""),"",(M23-I23)/I23)</f>
        <v/>
      </c>
      <c r="Z23" s="42">
        <f>IF(OR(I23="",N23=""),"",(N23-I23)/I23)</f>
        <v/>
      </c>
      <c r="AA23" s="42">
        <f>IF(OR(I23="",O23=""),"",(O23-I23)/I23)</f>
        <v/>
      </c>
      <c r="AB23" s="42">
        <f>IF(OR(Q23="",S23&lt;&gt;"",P23="",I23=""),"",IF(P23="Investor Override",IF(L23="","",(L23-I23)/I23),IF(P23="Offer 1",IF(M23="","",(M23-I23)/I23),IF(P23="Offer 2",IF(N23="","",(N23-I23)/I23),IF(P23="Offer 3",IF(O23="","",(O23-I23)/I23),"")))))</f>
        <v/>
      </c>
    </row>
    <row r="24" ht="19.5" customHeight="1">
      <c r="A24" s="20" t="n"/>
      <c r="B24" s="18" t="n"/>
      <c r="C24" s="18" t="n"/>
      <c r="D24" s="37" t="n"/>
      <c r="E24" s="38">
        <f>IF(D24="","",D24-90)</f>
        <v/>
      </c>
      <c r="F24" s="38">
        <f>IF(D24="","",D24-60)</f>
        <v/>
      </c>
      <c r="G24" s="38">
        <f>IF(D24="","",D24-30)</f>
        <v/>
      </c>
      <c r="H24" s="39" t="n"/>
      <c r="I24" s="19" t="n"/>
      <c r="J24" s="40">
        <f>IF(I24="","",IF(ABS(N24-W24)&lt;=ABS(M24-W24),IF(ABS(N24-W24)&lt;=ABS(O24-W24),"Offer 2","Offer 3"),IF(ABS(M24-W24)&lt;=ABS(O24-W24),"Offer 1","Offer 3")))</f>
        <v/>
      </c>
      <c r="K24" s="78" t="n"/>
      <c r="L24" s="41">
        <f>IF(OR(I24="",K24=""),"",CEILING(I24*(1+K24),5))</f>
        <v/>
      </c>
      <c r="M24" s="41">
        <f>IF(I24="","",IF(X24="Under",CEILING(MAX(I24*1.02,MIN(V24,W24)*0.95),5),CEILING(MAX(I24*1.03,MIN(V24,W24)*0.97),5)))</f>
        <v/>
      </c>
      <c r="N24" s="41">
        <f>IF(I24="","",IF(X24="Under",CEILING(MAX(I24*1.03,(V24+W24)/2*0.96),5),CEILING(MAX(I24*1.05,(V24+W24)/2*0.98),5)))</f>
        <v/>
      </c>
      <c r="O24" s="41">
        <f>IF(I24="","",IF(X24="Under",CEILING(MAX(I24*1.05,MIN(V24,W24*1.01)),5),CEILING(MAX(I24*1.08,MIN(V24,W24*1.02)),5)))</f>
        <v/>
      </c>
      <c r="P24" s="18" t="n"/>
      <c r="Q24" s="18" t="n"/>
      <c r="R24" s="18" t="n"/>
      <c r="S24" s="18" t="n"/>
      <c r="T24" s="18" t="n"/>
      <c r="U24" s="18" t="n"/>
      <c r="V24" s="41">
        <f>IF(C24="","",IFERROR(VLOOKUP(C24,SETUP!$A$9:$D$18,2,0),"⚠ Check SETUP"))</f>
        <v/>
      </c>
      <c r="W24" s="41">
        <f>IF(C24="","",IFERROR(VLOOKUP(C24,SETUP!$A$9:$D$18,3,0),"⚠ Check SETUP"))</f>
        <v/>
      </c>
      <c r="X24" s="40">
        <f>IF(C24="","",IFERROR(VLOOKUP(C24,SETUP!$A$9:$D$18,4,0),"⚠ Check SETUP"))</f>
        <v/>
      </c>
      <c r="Y24" s="42">
        <f>IF(OR(I24="",M24=""),"",(M24-I24)/I24)</f>
        <v/>
      </c>
      <c r="Z24" s="42">
        <f>IF(OR(I24="",N24=""),"",(N24-I24)/I24)</f>
        <v/>
      </c>
      <c r="AA24" s="42">
        <f>IF(OR(I24="",O24=""),"",(O24-I24)/I24)</f>
        <v/>
      </c>
      <c r="AB24" s="42">
        <f>IF(OR(Q24="",S24&lt;&gt;"",P24="",I24=""),"",IF(P24="Investor Override",IF(L24="","",(L24-I24)/I24),IF(P24="Offer 1",IF(M24="","",(M24-I24)/I24),IF(P24="Offer 2",IF(N24="","",(N24-I24)/I24),IF(P24="Offer 3",IF(O24="","",(O24-I24)/I24),"")))))</f>
        <v/>
      </c>
    </row>
    <row r="25" ht="19.5" customHeight="1">
      <c r="A25" s="20" t="n"/>
      <c r="B25" s="18" t="n"/>
      <c r="C25" s="18" t="n"/>
      <c r="D25" s="37" t="n"/>
      <c r="E25" s="38">
        <f>IF(D25="","",D25-90)</f>
        <v/>
      </c>
      <c r="F25" s="38">
        <f>IF(D25="","",D25-60)</f>
        <v/>
      </c>
      <c r="G25" s="38">
        <f>IF(D25="","",D25-30)</f>
        <v/>
      </c>
      <c r="H25" s="39" t="n"/>
      <c r="I25" s="19" t="n"/>
      <c r="J25" s="40">
        <f>IF(I25="","",IF(ABS(N25-W25)&lt;=ABS(M25-W25),IF(ABS(N25-W25)&lt;=ABS(O25-W25),"Offer 2","Offer 3"),IF(ABS(M25-W25)&lt;=ABS(O25-W25),"Offer 1","Offer 3")))</f>
        <v/>
      </c>
      <c r="K25" s="78" t="n"/>
      <c r="L25" s="41">
        <f>IF(OR(I25="",K25=""),"",CEILING(I25*(1+K25),5))</f>
        <v/>
      </c>
      <c r="M25" s="41">
        <f>IF(I25="","",IF(X25="Under",CEILING(MAX(I25*1.02,MIN(V25,W25)*0.95),5),CEILING(MAX(I25*1.03,MIN(V25,W25)*0.97),5)))</f>
        <v/>
      </c>
      <c r="N25" s="41">
        <f>IF(I25="","",IF(X25="Under",CEILING(MAX(I25*1.03,(V25+W25)/2*0.96),5),CEILING(MAX(I25*1.05,(V25+W25)/2*0.98),5)))</f>
        <v/>
      </c>
      <c r="O25" s="41">
        <f>IF(I25="","",IF(X25="Under",CEILING(MAX(I25*1.05,MIN(V25,W25*1.01)),5),CEILING(MAX(I25*1.08,MIN(V25,W25*1.02)),5)))</f>
        <v/>
      </c>
      <c r="P25" s="18" t="n"/>
      <c r="Q25" s="18" t="n"/>
      <c r="R25" s="18" t="n"/>
      <c r="S25" s="18" t="n"/>
      <c r="T25" s="18" t="n"/>
      <c r="U25" s="18" t="n"/>
      <c r="V25" s="41">
        <f>IF(C25="","",IFERROR(VLOOKUP(C25,SETUP!$A$9:$D$18,2,0),"⚠ Check SETUP"))</f>
        <v/>
      </c>
      <c r="W25" s="41">
        <f>IF(C25="","",IFERROR(VLOOKUP(C25,SETUP!$A$9:$D$18,3,0),"⚠ Check SETUP"))</f>
        <v/>
      </c>
      <c r="X25" s="40">
        <f>IF(C25="","",IFERROR(VLOOKUP(C25,SETUP!$A$9:$D$18,4,0),"⚠ Check SETUP"))</f>
        <v/>
      </c>
      <c r="Y25" s="42">
        <f>IF(OR(I25="",M25=""),"",(M25-I25)/I25)</f>
        <v/>
      </c>
      <c r="Z25" s="42">
        <f>IF(OR(I25="",N25=""),"",(N25-I25)/I25)</f>
        <v/>
      </c>
      <c r="AA25" s="42">
        <f>IF(OR(I25="",O25=""),"",(O25-I25)/I25)</f>
        <v/>
      </c>
      <c r="AB25" s="42">
        <f>IF(OR(Q25="",S25&lt;&gt;"",P25="",I25=""),"",IF(P25="Investor Override",IF(L25="","",(L25-I25)/I25),IF(P25="Offer 1",IF(M25="","",(M25-I25)/I25),IF(P25="Offer 2",IF(N25="","",(N25-I25)/I25),IF(P25="Offer 3",IF(O25="","",(O25-I25)/I25),"")))))</f>
        <v/>
      </c>
    </row>
    <row r="26" ht="19.5" customHeight="1">
      <c r="A26" s="20" t="n"/>
      <c r="B26" s="18" t="n"/>
      <c r="C26" s="18" t="n"/>
      <c r="D26" s="37" t="n"/>
      <c r="E26" s="38">
        <f>IF(D26="","",D26-90)</f>
        <v/>
      </c>
      <c r="F26" s="38">
        <f>IF(D26="","",D26-60)</f>
        <v/>
      </c>
      <c r="G26" s="38">
        <f>IF(D26="","",D26-30)</f>
        <v/>
      </c>
      <c r="H26" s="39" t="n"/>
      <c r="I26" s="19" t="n"/>
      <c r="J26" s="40">
        <f>IF(I26="","",IF(ABS(N26-W26)&lt;=ABS(M26-W26),IF(ABS(N26-W26)&lt;=ABS(O26-W26),"Offer 2","Offer 3"),IF(ABS(M26-W26)&lt;=ABS(O26-W26),"Offer 1","Offer 3")))</f>
        <v/>
      </c>
      <c r="K26" s="78" t="n"/>
      <c r="L26" s="41">
        <f>IF(OR(I26="",K26=""),"",CEILING(I26*(1+K26),5))</f>
        <v/>
      </c>
      <c r="M26" s="41">
        <f>IF(I26="","",IF(X26="Under",CEILING(MAX(I26*1.02,MIN(V26,W26)*0.95),5),CEILING(MAX(I26*1.03,MIN(V26,W26)*0.97),5)))</f>
        <v/>
      </c>
      <c r="N26" s="41">
        <f>IF(I26="","",IF(X26="Under",CEILING(MAX(I26*1.03,(V26+W26)/2*0.96),5),CEILING(MAX(I26*1.05,(V26+W26)/2*0.98),5)))</f>
        <v/>
      </c>
      <c r="O26" s="41">
        <f>IF(I26="","",IF(X26="Under",CEILING(MAX(I26*1.05,MIN(V26,W26*1.01)),5),CEILING(MAX(I26*1.08,MIN(V26,W26*1.02)),5)))</f>
        <v/>
      </c>
      <c r="P26" s="18" t="n"/>
      <c r="Q26" s="18" t="n"/>
      <c r="R26" s="18" t="n"/>
      <c r="S26" s="18" t="n"/>
      <c r="T26" s="18" t="n"/>
      <c r="U26" s="18" t="n"/>
      <c r="V26" s="41">
        <f>IF(C26="","",IFERROR(VLOOKUP(C26,SETUP!$A$9:$D$18,2,0),"⚠ Check SETUP"))</f>
        <v/>
      </c>
      <c r="W26" s="41">
        <f>IF(C26="","",IFERROR(VLOOKUP(C26,SETUP!$A$9:$D$18,3,0),"⚠ Check SETUP"))</f>
        <v/>
      </c>
      <c r="X26" s="40">
        <f>IF(C26="","",IFERROR(VLOOKUP(C26,SETUP!$A$9:$D$18,4,0),"⚠ Check SETUP"))</f>
        <v/>
      </c>
      <c r="Y26" s="42">
        <f>IF(OR(I26="",M26=""),"",(M26-I26)/I26)</f>
        <v/>
      </c>
      <c r="Z26" s="42">
        <f>IF(OR(I26="",N26=""),"",(N26-I26)/I26)</f>
        <v/>
      </c>
      <c r="AA26" s="42">
        <f>IF(OR(I26="",O26=""),"",(O26-I26)/I26)</f>
        <v/>
      </c>
      <c r="AB26" s="42">
        <f>IF(OR(Q26="",S26&lt;&gt;"",P26="",I26=""),"",IF(P26="Investor Override",IF(L26="","",(L26-I26)/I26),IF(P26="Offer 1",IF(M26="","",(M26-I26)/I26),IF(P26="Offer 2",IF(N26="","",(N26-I26)/I26),IF(P26="Offer 3",IF(O26="","",(O26-I26)/I26),"")))))</f>
        <v/>
      </c>
    </row>
    <row r="27" ht="19.5" customHeight="1">
      <c r="A27" s="20" t="n"/>
      <c r="B27" s="18" t="n"/>
      <c r="C27" s="18" t="n"/>
      <c r="D27" s="37" t="n"/>
      <c r="E27" s="38">
        <f>IF(D27="","",D27-90)</f>
        <v/>
      </c>
      <c r="F27" s="38">
        <f>IF(D27="","",D27-60)</f>
        <v/>
      </c>
      <c r="G27" s="38">
        <f>IF(D27="","",D27-30)</f>
        <v/>
      </c>
      <c r="H27" s="39" t="n"/>
      <c r="I27" s="19" t="n"/>
      <c r="J27" s="40">
        <f>IF(I27="","",IF(ABS(N27-W27)&lt;=ABS(M27-W27),IF(ABS(N27-W27)&lt;=ABS(O27-W27),"Offer 2","Offer 3"),IF(ABS(M27-W27)&lt;=ABS(O27-W27),"Offer 1","Offer 3")))</f>
        <v/>
      </c>
      <c r="K27" s="78" t="n"/>
      <c r="L27" s="41">
        <f>IF(OR(I27="",K27=""),"",CEILING(I27*(1+K27),5))</f>
        <v/>
      </c>
      <c r="M27" s="41">
        <f>IF(I27="","",IF(X27="Under",CEILING(MAX(I27*1.02,MIN(V27,W27)*0.95),5),CEILING(MAX(I27*1.03,MIN(V27,W27)*0.97),5)))</f>
        <v/>
      </c>
      <c r="N27" s="41">
        <f>IF(I27="","",IF(X27="Under",CEILING(MAX(I27*1.03,(V27+W27)/2*0.96),5),CEILING(MAX(I27*1.05,(V27+W27)/2*0.98),5)))</f>
        <v/>
      </c>
      <c r="O27" s="41">
        <f>IF(I27="","",IF(X27="Under",CEILING(MAX(I27*1.05,MIN(V27,W27*1.01)),5),CEILING(MAX(I27*1.08,MIN(V27,W27*1.02)),5)))</f>
        <v/>
      </c>
      <c r="P27" s="18" t="n"/>
      <c r="Q27" s="18" t="n"/>
      <c r="R27" s="18" t="n"/>
      <c r="S27" s="18" t="n"/>
      <c r="T27" s="18" t="n"/>
      <c r="U27" s="18" t="n"/>
      <c r="V27" s="41">
        <f>IF(C27="","",IFERROR(VLOOKUP(C27,SETUP!$A$9:$D$18,2,0),"⚠ Check SETUP"))</f>
        <v/>
      </c>
      <c r="W27" s="41">
        <f>IF(C27="","",IFERROR(VLOOKUP(C27,SETUP!$A$9:$D$18,3,0),"⚠ Check SETUP"))</f>
        <v/>
      </c>
      <c r="X27" s="40">
        <f>IF(C27="","",IFERROR(VLOOKUP(C27,SETUP!$A$9:$D$18,4,0),"⚠ Check SETUP"))</f>
        <v/>
      </c>
      <c r="Y27" s="42">
        <f>IF(OR(I27="",M27=""),"",(M27-I27)/I27)</f>
        <v/>
      </c>
      <c r="Z27" s="42">
        <f>IF(OR(I27="",N27=""),"",(N27-I27)/I27)</f>
        <v/>
      </c>
      <c r="AA27" s="42">
        <f>IF(OR(I27="",O27=""),"",(O27-I27)/I27)</f>
        <v/>
      </c>
      <c r="AB27" s="42">
        <f>IF(OR(Q27="",S27&lt;&gt;"",P27="",I27=""),"",IF(P27="Investor Override",IF(L27="","",(L27-I27)/I27),IF(P27="Offer 1",IF(M27="","",(M27-I27)/I27),IF(P27="Offer 2",IF(N27="","",(N27-I27)/I27),IF(P27="Offer 3",IF(O27="","",(O27-I27)/I27),"")))))</f>
        <v/>
      </c>
    </row>
    <row r="28" ht="19.5" customHeight="1">
      <c r="A28" s="20" t="n"/>
      <c r="B28" s="18" t="n"/>
      <c r="C28" s="18" t="n"/>
      <c r="D28" s="37" t="n"/>
      <c r="E28" s="38">
        <f>IF(D28="","",D28-90)</f>
        <v/>
      </c>
      <c r="F28" s="38">
        <f>IF(D28="","",D28-60)</f>
        <v/>
      </c>
      <c r="G28" s="38">
        <f>IF(D28="","",D28-30)</f>
        <v/>
      </c>
      <c r="H28" s="39" t="n"/>
      <c r="I28" s="19" t="n"/>
      <c r="J28" s="40">
        <f>IF(I28="","",IF(ABS(N28-W28)&lt;=ABS(M28-W28),IF(ABS(N28-W28)&lt;=ABS(O28-W28),"Offer 2","Offer 3"),IF(ABS(M28-W28)&lt;=ABS(O28-W28),"Offer 1","Offer 3")))</f>
        <v/>
      </c>
      <c r="K28" s="78" t="n"/>
      <c r="L28" s="41">
        <f>IF(OR(I28="",K28=""),"",CEILING(I28*(1+K28),5))</f>
        <v/>
      </c>
      <c r="M28" s="41">
        <f>IF(I28="","",IF(X28="Under",CEILING(MAX(I28*1.02,MIN(V28,W28)*0.95),5),CEILING(MAX(I28*1.03,MIN(V28,W28)*0.97),5)))</f>
        <v/>
      </c>
      <c r="N28" s="41">
        <f>IF(I28="","",IF(X28="Under",CEILING(MAX(I28*1.03,(V28+W28)/2*0.96),5),CEILING(MAX(I28*1.05,(V28+W28)/2*0.98),5)))</f>
        <v/>
      </c>
      <c r="O28" s="41">
        <f>IF(I28="","",IF(X28="Under",CEILING(MAX(I28*1.05,MIN(V28,W28*1.01)),5),CEILING(MAX(I28*1.08,MIN(V28,W28*1.02)),5)))</f>
        <v/>
      </c>
      <c r="P28" s="18" t="n"/>
      <c r="Q28" s="18" t="n"/>
      <c r="R28" s="18" t="n"/>
      <c r="S28" s="18" t="n"/>
      <c r="T28" s="18" t="n"/>
      <c r="U28" s="18" t="n"/>
      <c r="V28" s="41">
        <f>IF(C28="","",IFERROR(VLOOKUP(C28,SETUP!$A$9:$D$18,2,0),"⚠ Check SETUP"))</f>
        <v/>
      </c>
      <c r="W28" s="41">
        <f>IF(C28="","",IFERROR(VLOOKUP(C28,SETUP!$A$9:$D$18,3,0),"⚠ Check SETUP"))</f>
        <v/>
      </c>
      <c r="X28" s="40">
        <f>IF(C28="","",IFERROR(VLOOKUP(C28,SETUP!$A$9:$D$18,4,0),"⚠ Check SETUP"))</f>
        <v/>
      </c>
      <c r="Y28" s="42">
        <f>IF(OR(I28="",M28=""),"",(M28-I28)/I28)</f>
        <v/>
      </c>
      <c r="Z28" s="42">
        <f>IF(OR(I28="",N28=""),"",(N28-I28)/I28)</f>
        <v/>
      </c>
      <c r="AA28" s="42">
        <f>IF(OR(I28="",O28=""),"",(O28-I28)/I28)</f>
        <v/>
      </c>
      <c r="AB28" s="42">
        <f>IF(OR(Q28="",S28&lt;&gt;"",P28="",I28=""),"",IF(P28="Investor Override",IF(L28="","",(L28-I28)/I28),IF(P28="Offer 1",IF(M28="","",(M28-I28)/I28),IF(P28="Offer 2",IF(N28="","",(N28-I28)/I28),IF(P28="Offer 3",IF(O28="","",(O28-I28)/I28),"")))))</f>
        <v/>
      </c>
    </row>
    <row r="29" ht="19.5" customHeight="1">
      <c r="A29" s="20" t="n"/>
      <c r="B29" s="18" t="n"/>
      <c r="C29" s="18" t="n"/>
      <c r="D29" s="37" t="n"/>
      <c r="E29" s="38">
        <f>IF(D29="","",D29-90)</f>
        <v/>
      </c>
      <c r="F29" s="38">
        <f>IF(D29="","",D29-60)</f>
        <v/>
      </c>
      <c r="G29" s="38">
        <f>IF(D29="","",D29-30)</f>
        <v/>
      </c>
      <c r="H29" s="39" t="n"/>
      <c r="I29" s="19" t="n"/>
      <c r="J29" s="40">
        <f>IF(I29="","",IF(ABS(N29-W29)&lt;=ABS(M29-W29),IF(ABS(N29-W29)&lt;=ABS(O29-W29),"Offer 2","Offer 3"),IF(ABS(M29-W29)&lt;=ABS(O29-W29),"Offer 1","Offer 3")))</f>
        <v/>
      </c>
      <c r="K29" s="78" t="n"/>
      <c r="L29" s="41">
        <f>IF(OR(I29="",K29=""),"",CEILING(I29*(1+K29),5))</f>
        <v/>
      </c>
      <c r="M29" s="41">
        <f>IF(I29="","",IF(X29="Under",CEILING(MAX(I29*1.02,MIN(V29,W29)*0.95),5),CEILING(MAX(I29*1.03,MIN(V29,W29)*0.97),5)))</f>
        <v/>
      </c>
      <c r="N29" s="41">
        <f>IF(I29="","",IF(X29="Under",CEILING(MAX(I29*1.03,(V29+W29)/2*0.96),5),CEILING(MAX(I29*1.05,(V29+W29)/2*0.98),5)))</f>
        <v/>
      </c>
      <c r="O29" s="41">
        <f>IF(I29="","",IF(X29="Under",CEILING(MAX(I29*1.05,MIN(V29,W29*1.01)),5),CEILING(MAX(I29*1.08,MIN(V29,W29*1.02)),5)))</f>
        <v/>
      </c>
      <c r="P29" s="18" t="n"/>
      <c r="Q29" s="18" t="n"/>
      <c r="R29" s="18" t="n"/>
      <c r="S29" s="18" t="n"/>
      <c r="T29" s="18" t="n"/>
      <c r="U29" s="18" t="n"/>
      <c r="V29" s="41">
        <f>IF(C29="","",IFERROR(VLOOKUP(C29,SETUP!$A$9:$D$18,2,0),"⚠ Check SETUP"))</f>
        <v/>
      </c>
      <c r="W29" s="41">
        <f>IF(C29="","",IFERROR(VLOOKUP(C29,SETUP!$A$9:$D$18,3,0),"⚠ Check SETUP"))</f>
        <v/>
      </c>
      <c r="X29" s="40">
        <f>IF(C29="","",IFERROR(VLOOKUP(C29,SETUP!$A$9:$D$18,4,0),"⚠ Check SETUP"))</f>
        <v/>
      </c>
      <c r="Y29" s="42">
        <f>IF(OR(I29="",M29=""),"",(M29-I29)/I29)</f>
        <v/>
      </c>
      <c r="Z29" s="42">
        <f>IF(OR(I29="",N29=""),"",(N29-I29)/I29)</f>
        <v/>
      </c>
      <c r="AA29" s="42">
        <f>IF(OR(I29="",O29=""),"",(O29-I29)/I29)</f>
        <v/>
      </c>
      <c r="AB29" s="42">
        <f>IF(OR(Q29="",S29&lt;&gt;"",P29="",I29=""),"",IF(P29="Investor Override",IF(L29="","",(L29-I29)/I29),IF(P29="Offer 1",IF(M29="","",(M29-I29)/I29),IF(P29="Offer 2",IF(N29="","",(N29-I29)/I29),IF(P29="Offer 3",IF(O29="","",(O29-I29)/I29),"")))))</f>
        <v/>
      </c>
    </row>
    <row r="30" ht="19.5" customHeight="1">
      <c r="A30" s="20" t="n"/>
      <c r="B30" s="18" t="n"/>
      <c r="C30" s="18" t="n"/>
      <c r="D30" s="37" t="n"/>
      <c r="E30" s="38">
        <f>IF(D30="","",D30-90)</f>
        <v/>
      </c>
      <c r="F30" s="38">
        <f>IF(D30="","",D30-60)</f>
        <v/>
      </c>
      <c r="G30" s="38">
        <f>IF(D30="","",D30-30)</f>
        <v/>
      </c>
      <c r="H30" s="39" t="n"/>
      <c r="I30" s="19" t="n"/>
      <c r="J30" s="40">
        <f>IF(I30="","",IF(ABS(N30-W30)&lt;=ABS(M30-W30),IF(ABS(N30-W30)&lt;=ABS(O30-W30),"Offer 2","Offer 3"),IF(ABS(M30-W30)&lt;=ABS(O30-W30),"Offer 1","Offer 3")))</f>
        <v/>
      </c>
      <c r="K30" s="78" t="n"/>
      <c r="L30" s="41">
        <f>IF(OR(I30="",K30=""),"",CEILING(I30*(1+K30),5))</f>
        <v/>
      </c>
      <c r="M30" s="41">
        <f>IF(I30="","",IF(X30="Under",CEILING(MAX(I30*1.02,MIN(V30,W30)*0.95),5),CEILING(MAX(I30*1.03,MIN(V30,W30)*0.97),5)))</f>
        <v/>
      </c>
      <c r="N30" s="41">
        <f>IF(I30="","",IF(X30="Under",CEILING(MAX(I30*1.03,(V30+W30)/2*0.96),5),CEILING(MAX(I30*1.05,(V30+W30)/2*0.98),5)))</f>
        <v/>
      </c>
      <c r="O30" s="41">
        <f>IF(I30="","",IF(X30="Under",CEILING(MAX(I30*1.05,MIN(V30,W30*1.01)),5),CEILING(MAX(I30*1.08,MIN(V30,W30*1.02)),5)))</f>
        <v/>
      </c>
      <c r="P30" s="18" t="n"/>
      <c r="Q30" s="18" t="n"/>
      <c r="R30" s="18" t="n"/>
      <c r="S30" s="18" t="n"/>
      <c r="T30" s="18" t="n"/>
      <c r="U30" s="18" t="n"/>
      <c r="V30" s="41">
        <f>IF(C30="","",IFERROR(VLOOKUP(C30,SETUP!$A$9:$D$18,2,0),"⚠ Check SETUP"))</f>
        <v/>
      </c>
      <c r="W30" s="41">
        <f>IF(C30="","",IFERROR(VLOOKUP(C30,SETUP!$A$9:$D$18,3,0),"⚠ Check SETUP"))</f>
        <v/>
      </c>
      <c r="X30" s="40">
        <f>IF(C30="","",IFERROR(VLOOKUP(C30,SETUP!$A$9:$D$18,4,0),"⚠ Check SETUP"))</f>
        <v/>
      </c>
      <c r="Y30" s="42">
        <f>IF(OR(I30="",M30=""),"",(M30-I30)/I30)</f>
        <v/>
      </c>
      <c r="Z30" s="42">
        <f>IF(OR(I30="",N30=""),"",(N30-I30)/I30)</f>
        <v/>
      </c>
      <c r="AA30" s="42">
        <f>IF(OR(I30="",O30=""),"",(O30-I30)/I30)</f>
        <v/>
      </c>
      <c r="AB30" s="42">
        <f>IF(OR(Q30="",S30&lt;&gt;"",P30="",I30=""),"",IF(P30="Investor Override",IF(L30="","",(L30-I30)/I30),IF(P30="Offer 1",IF(M30="","",(M30-I30)/I30),IF(P30="Offer 2",IF(N30="","",(N30-I30)/I30),IF(P30="Offer 3",IF(O30="","",(O30-I30)/I30),"")))))</f>
        <v/>
      </c>
    </row>
    <row r="31" ht="19.5" customHeight="1">
      <c r="A31" s="20" t="n"/>
      <c r="B31" s="18" t="n"/>
      <c r="C31" s="18" t="n"/>
      <c r="D31" s="37" t="n"/>
      <c r="E31" s="38">
        <f>IF(D31="","",D31-90)</f>
        <v/>
      </c>
      <c r="F31" s="38">
        <f>IF(D31="","",D31-60)</f>
        <v/>
      </c>
      <c r="G31" s="38">
        <f>IF(D31="","",D31-30)</f>
        <v/>
      </c>
      <c r="H31" s="39" t="n"/>
      <c r="I31" s="19" t="n"/>
      <c r="J31" s="40">
        <f>IF(I31="","",IF(ABS(N31-W31)&lt;=ABS(M31-W31),IF(ABS(N31-W31)&lt;=ABS(O31-W31),"Offer 2","Offer 3"),IF(ABS(M31-W31)&lt;=ABS(O31-W31),"Offer 1","Offer 3")))</f>
        <v/>
      </c>
      <c r="K31" s="78" t="n"/>
      <c r="L31" s="41">
        <f>IF(OR(I31="",K31=""),"",CEILING(I31*(1+K31),5))</f>
        <v/>
      </c>
      <c r="M31" s="41">
        <f>IF(I31="","",IF(X31="Under",CEILING(MAX(I31*1.02,MIN(V31,W31)*0.95),5),CEILING(MAX(I31*1.03,MIN(V31,W31)*0.97),5)))</f>
        <v/>
      </c>
      <c r="N31" s="41">
        <f>IF(I31="","",IF(X31="Under",CEILING(MAX(I31*1.03,(V31+W31)/2*0.96),5),CEILING(MAX(I31*1.05,(V31+W31)/2*0.98),5)))</f>
        <v/>
      </c>
      <c r="O31" s="41">
        <f>IF(I31="","",IF(X31="Under",CEILING(MAX(I31*1.05,MIN(V31,W31*1.01)),5),CEILING(MAX(I31*1.08,MIN(V31,W31*1.02)),5)))</f>
        <v/>
      </c>
      <c r="P31" s="18" t="n"/>
      <c r="Q31" s="18" t="n"/>
      <c r="R31" s="18" t="n"/>
      <c r="S31" s="18" t="n"/>
      <c r="T31" s="18" t="n"/>
      <c r="U31" s="18" t="n"/>
      <c r="V31" s="41">
        <f>IF(C31="","",IFERROR(VLOOKUP(C31,SETUP!$A$9:$D$18,2,0),"⚠ Check SETUP"))</f>
        <v/>
      </c>
      <c r="W31" s="41">
        <f>IF(C31="","",IFERROR(VLOOKUP(C31,SETUP!$A$9:$D$18,3,0),"⚠ Check SETUP"))</f>
        <v/>
      </c>
      <c r="X31" s="40">
        <f>IF(C31="","",IFERROR(VLOOKUP(C31,SETUP!$A$9:$D$18,4,0),"⚠ Check SETUP"))</f>
        <v/>
      </c>
      <c r="Y31" s="42">
        <f>IF(OR(I31="",M31=""),"",(M31-I31)/I31)</f>
        <v/>
      </c>
      <c r="Z31" s="42">
        <f>IF(OR(I31="",N31=""),"",(N31-I31)/I31)</f>
        <v/>
      </c>
      <c r="AA31" s="42">
        <f>IF(OR(I31="",O31=""),"",(O31-I31)/I31)</f>
        <v/>
      </c>
      <c r="AB31" s="42">
        <f>IF(OR(Q31="",S31&lt;&gt;"",P31="",I31=""),"",IF(P31="Investor Override",IF(L31="","",(L31-I31)/I31),IF(P31="Offer 1",IF(M31="","",(M31-I31)/I31),IF(P31="Offer 2",IF(N31="","",(N31-I31)/I31),IF(P31="Offer 3",IF(O31="","",(O31-I31)/I31),"")))))</f>
        <v/>
      </c>
    </row>
    <row r="32" ht="19.5" customHeight="1">
      <c r="A32" s="20" t="n"/>
      <c r="B32" s="18" t="n"/>
      <c r="C32" s="18" t="n"/>
      <c r="D32" s="37" t="n"/>
      <c r="E32" s="38">
        <f>IF(D32="","",D32-90)</f>
        <v/>
      </c>
      <c r="F32" s="38">
        <f>IF(D32="","",D32-60)</f>
        <v/>
      </c>
      <c r="G32" s="38">
        <f>IF(D32="","",D32-30)</f>
        <v/>
      </c>
      <c r="H32" s="39" t="n"/>
      <c r="I32" s="19" t="n"/>
      <c r="J32" s="40">
        <f>IF(I32="","",IF(ABS(N32-W32)&lt;=ABS(M32-W32),IF(ABS(N32-W32)&lt;=ABS(O32-W32),"Offer 2","Offer 3"),IF(ABS(M32-W32)&lt;=ABS(O32-W32),"Offer 1","Offer 3")))</f>
        <v/>
      </c>
      <c r="K32" s="78" t="n"/>
      <c r="L32" s="41">
        <f>IF(OR(I32="",K32=""),"",CEILING(I32*(1+K32),5))</f>
        <v/>
      </c>
      <c r="M32" s="41">
        <f>IF(I32="","",IF(X32="Under",CEILING(MAX(I32*1.02,MIN(V32,W32)*0.95),5),CEILING(MAX(I32*1.03,MIN(V32,W32)*0.97),5)))</f>
        <v/>
      </c>
      <c r="N32" s="41">
        <f>IF(I32="","",IF(X32="Under",CEILING(MAX(I32*1.03,(V32+W32)/2*0.96),5),CEILING(MAX(I32*1.05,(V32+W32)/2*0.98),5)))</f>
        <v/>
      </c>
      <c r="O32" s="41">
        <f>IF(I32="","",IF(X32="Under",CEILING(MAX(I32*1.05,MIN(V32,W32*1.01)),5),CEILING(MAX(I32*1.08,MIN(V32,W32*1.02)),5)))</f>
        <v/>
      </c>
      <c r="P32" s="18" t="n"/>
      <c r="Q32" s="18" t="n"/>
      <c r="R32" s="18" t="n"/>
      <c r="S32" s="18" t="n"/>
      <c r="T32" s="18" t="n"/>
      <c r="U32" s="18" t="n"/>
      <c r="V32" s="41">
        <f>IF(C32="","",IFERROR(VLOOKUP(C32,SETUP!$A$9:$D$18,2,0),"⚠ Check SETUP"))</f>
        <v/>
      </c>
      <c r="W32" s="41">
        <f>IF(C32="","",IFERROR(VLOOKUP(C32,SETUP!$A$9:$D$18,3,0),"⚠ Check SETUP"))</f>
        <v/>
      </c>
      <c r="X32" s="40">
        <f>IF(C32="","",IFERROR(VLOOKUP(C32,SETUP!$A$9:$D$18,4,0),"⚠ Check SETUP"))</f>
        <v/>
      </c>
      <c r="Y32" s="42">
        <f>IF(OR(I32="",M32=""),"",(M32-I32)/I32)</f>
        <v/>
      </c>
      <c r="Z32" s="42">
        <f>IF(OR(I32="",N32=""),"",(N32-I32)/I32)</f>
        <v/>
      </c>
      <c r="AA32" s="42">
        <f>IF(OR(I32="",O32=""),"",(O32-I32)/I32)</f>
        <v/>
      </c>
      <c r="AB32" s="42">
        <f>IF(OR(Q32="",S32&lt;&gt;"",P32="",I32=""),"",IF(P32="Investor Override",IF(L32="","",(L32-I32)/I32),IF(P32="Offer 1",IF(M32="","",(M32-I32)/I32),IF(P32="Offer 2",IF(N32="","",(N32-I32)/I32),IF(P32="Offer 3",IF(O32="","",(O32-I32)/I32),"")))))</f>
        <v/>
      </c>
    </row>
    <row r="33" ht="19.5" customHeight="1">
      <c r="A33" s="20" t="n"/>
      <c r="B33" s="18" t="n"/>
      <c r="C33" s="18" t="n"/>
      <c r="D33" s="37" t="n"/>
      <c r="E33" s="38">
        <f>IF(D33="","",D33-90)</f>
        <v/>
      </c>
      <c r="F33" s="38">
        <f>IF(D33="","",D33-60)</f>
        <v/>
      </c>
      <c r="G33" s="38">
        <f>IF(D33="","",D33-30)</f>
        <v/>
      </c>
      <c r="H33" s="39" t="n"/>
      <c r="I33" s="19" t="n"/>
      <c r="J33" s="40">
        <f>IF(I33="","",IF(ABS(N33-W33)&lt;=ABS(M33-W33),IF(ABS(N33-W33)&lt;=ABS(O33-W33),"Offer 2","Offer 3"),IF(ABS(M33-W33)&lt;=ABS(O33-W33),"Offer 1","Offer 3")))</f>
        <v/>
      </c>
      <c r="K33" s="78" t="n"/>
      <c r="L33" s="41">
        <f>IF(OR(I33="",K33=""),"",CEILING(I33*(1+K33),5))</f>
        <v/>
      </c>
      <c r="M33" s="41">
        <f>IF(I33="","",IF(X33="Under",CEILING(MAX(I33*1.02,MIN(V33,W33)*0.95),5),CEILING(MAX(I33*1.03,MIN(V33,W33)*0.97),5)))</f>
        <v/>
      </c>
      <c r="N33" s="41">
        <f>IF(I33="","",IF(X33="Under",CEILING(MAX(I33*1.03,(V33+W33)/2*0.96),5),CEILING(MAX(I33*1.05,(V33+W33)/2*0.98),5)))</f>
        <v/>
      </c>
      <c r="O33" s="41">
        <f>IF(I33="","",IF(X33="Under",CEILING(MAX(I33*1.05,MIN(V33,W33*1.01)),5),CEILING(MAX(I33*1.08,MIN(V33,W33*1.02)),5)))</f>
        <v/>
      </c>
      <c r="P33" s="18" t="n"/>
      <c r="Q33" s="18" t="n"/>
      <c r="R33" s="18" t="n"/>
      <c r="S33" s="18" t="n"/>
      <c r="T33" s="18" t="n"/>
      <c r="U33" s="18" t="n"/>
      <c r="V33" s="41">
        <f>IF(C33="","",IFERROR(VLOOKUP(C33,SETUP!$A$9:$D$18,2,0),"⚠ Check SETUP"))</f>
        <v/>
      </c>
      <c r="W33" s="41">
        <f>IF(C33="","",IFERROR(VLOOKUP(C33,SETUP!$A$9:$D$18,3,0),"⚠ Check SETUP"))</f>
        <v/>
      </c>
      <c r="X33" s="40">
        <f>IF(C33="","",IFERROR(VLOOKUP(C33,SETUP!$A$9:$D$18,4,0),"⚠ Check SETUP"))</f>
        <v/>
      </c>
      <c r="Y33" s="42">
        <f>IF(OR(I33="",M33=""),"",(M33-I33)/I33)</f>
        <v/>
      </c>
      <c r="Z33" s="42">
        <f>IF(OR(I33="",N33=""),"",(N33-I33)/I33)</f>
        <v/>
      </c>
      <c r="AA33" s="42">
        <f>IF(OR(I33="",O33=""),"",(O33-I33)/I33)</f>
        <v/>
      </c>
      <c r="AB33" s="42">
        <f>IF(OR(Q33="",S33&lt;&gt;"",P33="",I33=""),"",IF(P33="Investor Override",IF(L33="","",(L33-I33)/I33),IF(P33="Offer 1",IF(M33="","",(M33-I33)/I33),IF(P33="Offer 2",IF(N33="","",(N33-I33)/I33),IF(P33="Offer 3",IF(O33="","",(O33-I33)/I33),"")))))</f>
        <v/>
      </c>
    </row>
    <row r="34" ht="21.75" customHeight="1">
      <c r="X34" s="43" t="inlineStr">
        <is>
          <t>Portfolio Avg
(Excl. NTV) →</t>
        </is>
      </c>
      <c r="Y34" s="44">
        <f>IFERROR(AVERAGEIFS(Y4:Y33,S4:S33,""),"")</f>
        <v/>
      </c>
      <c r="Z34" s="44">
        <f>IFERROR(AVERAGEIFS(Z4:Z33,S4:S33,""),"")</f>
        <v/>
      </c>
      <c r="AA34" s="44">
        <f>IFERROR(AVERAGEIFS(AA4:AA33,S4:S33,""),"")</f>
        <v/>
      </c>
      <c r="AB34" s="44">
        <f>IFERROR(AVERAGEIF(AB4:AB33,"&lt;&gt;"),"")</f>
        <v/>
      </c>
    </row>
    <row r="36" ht="25.5" customHeight="1">
      <c r="A36" s="4" t="inlineStr">
        <is>
          <t>RETENTION ANALYSIS</t>
        </is>
      </c>
      <c r="H36" s="45" t="n"/>
    </row>
    <row r="37" ht="38" customHeight="1">
      <c r="A37" s="34" t="inlineStr">
        <is>
          <t>Metric</t>
        </is>
      </c>
      <c r="B37" s="34" t="inlineStr">
        <is>
          <t>Count</t>
        </is>
      </c>
      <c r="C37" s="34" t="inlineStr">
        <is>
          <t>% of Expirations</t>
        </is>
      </c>
      <c r="D37" s="34" t="inlineStr">
        <is>
          <t>% of Decided</t>
        </is>
      </c>
      <c r="E37" s="34" t="inlineStr">
        <is>
          <t>Status</t>
        </is>
      </c>
      <c r="F37" s="45" t="n"/>
      <c r="G37" s="45" t="n"/>
      <c r="H37" s="45" t="n"/>
    </row>
    <row r="38" ht="21.75" customHeight="1">
      <c r="A38" s="47" t="inlineStr">
        <is>
          <t>Total Lease Expirations</t>
        </is>
      </c>
      <c r="B38" s="48">
        <f>COUNTA(A4:A33)</f>
        <v/>
      </c>
      <c r="C38" s="49" t="n"/>
      <c r="D38" s="49" t="n"/>
      <c r="E38" s="49" t="n"/>
      <c r="F38" s="45" t="n"/>
      <c r="G38" s="45" t="n"/>
      <c r="H38" s="45" t="n"/>
    </row>
    <row r="39" ht="21.75" customHeight="1">
      <c r="A39" s="50" t="inlineStr">
        <is>
          <t xml:space="preserve">    Renewals Signed</t>
        </is>
      </c>
      <c r="B39" s="51">
        <f>COUNTA(Q4:Q33)</f>
        <v/>
      </c>
      <c r="C39" s="52">
        <f>IFERROR(B39/B38,"-")</f>
        <v/>
      </c>
      <c r="D39" s="52">
        <f>IFERROR(B39/(B39+B40),"-")</f>
        <v/>
      </c>
      <c r="E39" s="53">
        <f>IF(B38=0,"Awaiting data",IF(B39/B38&gt;=0.6,"On Track ✓","Needs Attention ⚠"))</f>
        <v/>
      </c>
      <c r="F39" s="45" t="n"/>
      <c r="G39" s="45" t="n"/>
      <c r="H39" s="45" t="n"/>
    </row>
    <row r="40" ht="21.75" customHeight="1">
      <c r="A40" s="54" t="inlineStr">
        <is>
          <t xml:space="preserve">    NTV's Received</t>
        </is>
      </c>
      <c r="B40" s="55">
        <f>COUNTA(S4:S33)</f>
        <v/>
      </c>
      <c r="C40" s="56">
        <f>IFERROR(B40/B38,"-")</f>
        <v/>
      </c>
      <c r="D40" s="56">
        <f>IFERROR(B40/(B39+B40),"-")</f>
        <v/>
      </c>
      <c r="E40" s="57">
        <f>IF(B38=0,"Awaiting data",IF(B40/B38&lt;=0.2,"Acceptable","High NTV ⚠"))</f>
        <v/>
      </c>
      <c r="F40" s="45" t="n"/>
      <c r="G40" s="45" t="n"/>
      <c r="H40" s="45" t="n"/>
    </row>
    <row r="41" ht="21.75" customHeight="1">
      <c r="A41" s="58" t="inlineStr">
        <is>
          <t xml:space="preserve">    Transfers</t>
        </is>
      </c>
      <c r="B41" s="59">
        <f>COUNTA(R4:R33)</f>
        <v/>
      </c>
      <c r="C41" s="60">
        <f>IFERROR(B41/B38,"-")</f>
        <v/>
      </c>
      <c r="D41" s="61" t="inlineStr">
        <is>
          <t>—</t>
        </is>
      </c>
      <c r="E41" s="62" t="inlineStr">
        <is>
          <t>Resident retained in portfolio</t>
        </is>
      </c>
      <c r="F41" s="45" t="n"/>
      <c r="G41" s="45" t="n"/>
      <c r="H41" s="45" t="n"/>
    </row>
    <row r="42" ht="47" customHeight="1">
      <c r="A42" s="77" t="inlineStr">
        <is>
          <t xml:space="preserve">    Pending / Not Yet Decided</t>
        </is>
      </c>
      <c r="B42" s="64">
        <f>MAX(0,B38-B39-B40-B41)</f>
        <v/>
      </c>
      <c r="C42" s="65">
        <f>IFERROR(B42/B38,"-")</f>
        <v/>
      </c>
      <c r="D42" s="66" t="inlineStr">
        <is>
          <t>—</t>
        </is>
      </c>
      <c r="E42" s="67">
        <f>IF(B42=0,"All accounted for ✓","Follow up needed")</f>
        <v/>
      </c>
      <c r="F42" s="45" t="n"/>
      <c r="G42" s="45" t="n"/>
      <c r="H42" s="45" t="n"/>
    </row>
    <row r="43" ht="7.5" customHeight="1">
      <c r="A43" s="45" t="n"/>
      <c r="B43" s="45" t="n"/>
      <c r="C43" s="45" t="n"/>
      <c r="D43" s="45" t="n"/>
      <c r="E43" s="45" t="n"/>
      <c r="F43" s="45" t="n"/>
      <c r="G43" s="45" t="n"/>
      <c r="H43" s="45" t="n"/>
    </row>
    <row r="44" ht="37.5" customHeight="1">
      <c r="A44" s="3" t="inlineStr">
        <is>
          <t>RETENTION RATE  (Renewals ÷ Total Expirations)</t>
        </is>
      </c>
      <c r="B44" s="80" t="n"/>
      <c r="C44" s="68">
        <f>IFERROR(B39/B38,"-")</f>
        <v/>
      </c>
      <c r="D44" s="2">
        <f>IF(B38=0,"Enter resident data to calculate",IF(B39/B38&gt;=0.6,"✓ Meeting target retention","⚠ Below target — review offers"))</f>
        <v/>
      </c>
      <c r="E44" s="79" t="n"/>
      <c r="F44" s="79" t="n"/>
      <c r="G44" s="79" t="n"/>
      <c r="H44" s="45" t="n"/>
    </row>
    <row r="45" ht="25.5" customHeight="1">
      <c r="A45" s="1" t="inlineStr">
        <is>
          <t>RETENTION RATE  (Renewals ÷ Renewals + NTVs)  ← of decided residents</t>
        </is>
      </c>
      <c r="B45" s="79" t="n"/>
      <c r="C45" s="69">
        <f>IFERROR(B39/(B39+B40),"-")</f>
        <v/>
      </c>
      <c r="D45" s="76" t="inlineStr">
        <is>
          <t>Excludes pending residents — only counts those who have made a decision (renewed or NTV'd)</t>
        </is>
      </c>
      <c r="E45" s="79" t="n"/>
      <c r="F45" s="79" t="n"/>
      <c r="G45" s="79" t="n"/>
      <c r="H45" s="45" t="n"/>
    </row>
    <row r="46" ht="18" customHeight="1">
      <c r="A46" s="45" t="n"/>
      <c r="B46" s="45" t="n"/>
      <c r="C46" s="45" t="n"/>
      <c r="D46" s="45" t="n"/>
      <c r="E46" s="45" t="n"/>
      <c r="F46" s="45" t="n"/>
      <c r="G46" s="45" t="n"/>
      <c r="H46" s="45" t="n"/>
    </row>
    <row r="47" ht="7.5" customHeight="1">
      <c r="A47" s="45" t="n"/>
      <c r="B47" s="45" t="n"/>
      <c r="C47" s="45" t="n"/>
      <c r="D47" s="45" t="n"/>
      <c r="E47" s="45" t="n"/>
      <c r="F47" s="45" t="n"/>
      <c r="G47" s="45" t="n"/>
      <c r="H47" s="45" t="n"/>
    </row>
    <row r="48" ht="21.75" customHeight="1">
      <c r="A48" s="70" t="inlineStr">
        <is>
          <t>Legend</t>
        </is>
      </c>
      <c r="B48" s="45" t="n"/>
      <c r="C48" s="45" t="n"/>
      <c r="D48" s="45" t="n"/>
      <c r="E48" s="45" t="n"/>
      <c r="F48" s="45" t="n"/>
      <c r="G48" s="45" t="n"/>
      <c r="H48" s="45" t="n"/>
    </row>
    <row r="49" ht="18" customHeight="1">
      <c r="A49" s="71" t="inlineStr">
        <is>
          <t>Renewed  (auto: enter date in Renewal Signed)</t>
        </is>
      </c>
      <c r="B49" s="45" t="n"/>
      <c r="C49" s="45" t="n"/>
      <c r="D49" s="45" t="n"/>
      <c r="E49" s="45" t="n"/>
      <c r="F49" s="45" t="n"/>
      <c r="G49" s="45" t="n"/>
      <c r="H49" s="45" t="n"/>
    </row>
    <row r="50" ht="18" customHeight="1">
      <c r="A50" s="72" t="inlineStr">
        <is>
          <t>Pending Signature  (manual: apply yellow fill)</t>
        </is>
      </c>
      <c r="B50" s="45" t="n"/>
      <c r="C50" s="45" t="n"/>
      <c r="D50" s="45" t="n"/>
      <c r="E50" s="45" t="n"/>
      <c r="F50" s="45" t="n"/>
      <c r="G50" s="45" t="n"/>
      <c r="H50" s="45" t="n"/>
    </row>
    <row r="51" ht="18" customHeight="1">
      <c r="A51" s="73" t="inlineStr">
        <is>
          <t>NTV / Notice to Vacate  (auto: enter date in NTV Rcv'd)</t>
        </is>
      </c>
      <c r="B51" s="45" t="n"/>
      <c r="C51" s="45" t="n"/>
      <c r="D51" s="45" t="n"/>
      <c r="E51" s="45" t="n"/>
      <c r="F51" s="45" t="n"/>
      <c r="G51" s="45" t="n"/>
      <c r="H51" s="45" t="n"/>
    </row>
    <row r="52" ht="18" customHeight="1">
      <c r="A52" s="74" t="inlineStr">
        <is>
          <t>Transfer  (auto: enter date in Transfer)</t>
        </is>
      </c>
      <c r="B52" s="45" t="n"/>
      <c r="C52" s="45" t="n"/>
      <c r="D52" s="45" t="n"/>
      <c r="E52" s="45" t="n"/>
      <c r="F52" s="45" t="n"/>
      <c r="G52" s="45" t="n"/>
      <c r="H52" s="45" t="n"/>
    </row>
    <row r="53" ht="18" customHeight="1">
      <c r="A53" s="75" t="inlineStr">
        <is>
          <t>MTM / Month-to-Month  (manual: apply gray fill)</t>
        </is>
      </c>
      <c r="B53" s="45" t="n"/>
      <c r="C53" s="45" t="n"/>
      <c r="D53" s="45" t="n"/>
      <c r="E53" s="45" t="n"/>
      <c r="F53" s="45" t="n"/>
      <c r="G53" s="45" t="n"/>
      <c r="H53" s="45" t="n"/>
    </row>
    <row r="54" ht="15" customHeight="1">
      <c r="A54" s="45" t="n"/>
      <c r="B54" s="45" t="n"/>
      <c r="C54" s="45" t="n"/>
      <c r="D54" s="45" t="n"/>
      <c r="E54" s="45" t="n"/>
      <c r="F54" s="45" t="n"/>
      <c r="G54" s="45" t="n"/>
      <c r="H54" s="45" t="n"/>
    </row>
    <row r="55" ht="15" customHeight="1">
      <c r="A55" s="45" t="n"/>
      <c r="B55" s="45" t="n"/>
      <c r="C55" s="45" t="n"/>
      <c r="D55" s="45" t="n"/>
      <c r="E55" s="45" t="n"/>
      <c r="F55" s="45" t="n"/>
      <c r="G55" s="45" t="n"/>
      <c r="H55" s="45" t="n"/>
    </row>
    <row r="56" ht="15" customHeight="1">
      <c r="A56" s="45" t="n"/>
      <c r="B56" s="45" t="n"/>
      <c r="C56" s="45" t="n"/>
      <c r="D56" s="45" t="n"/>
      <c r="E56" s="45" t="n"/>
      <c r="F56" s="45" t="n"/>
      <c r="G56" s="45" t="n"/>
      <c r="H56" s="45" t="n"/>
    </row>
    <row r="57" ht="15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</row>
    <row r="58" ht="15" customHeight="1">
      <c r="A58" s="45" t="n"/>
      <c r="B58" s="45" t="n"/>
      <c r="C58" s="45" t="n"/>
      <c r="D58" s="45" t="n"/>
      <c r="E58" s="45" t="n"/>
      <c r="F58" s="45" t="n"/>
      <c r="G58" s="45" t="n"/>
      <c r="H58" s="45" t="n"/>
    </row>
    <row r="59" ht="15" customHeight="1">
      <c r="A59" s="45" t="n"/>
      <c r="B59" s="45" t="n"/>
      <c r="C59" s="45" t="n"/>
      <c r="D59" s="45" t="n"/>
      <c r="E59" s="45" t="n"/>
      <c r="F59" s="45" t="n"/>
      <c r="G59" s="45" t="n"/>
      <c r="H59" s="45" t="n"/>
    </row>
    <row r="60" ht="15" customHeight="1">
      <c r="A60" s="45" t="n"/>
      <c r="B60" s="45" t="n"/>
      <c r="C60" s="45" t="n"/>
      <c r="D60" s="45" t="n"/>
      <c r="E60" s="45" t="n"/>
      <c r="F60" s="45" t="n"/>
      <c r="G60" s="45" t="n"/>
      <c r="H60" s="45" t="n"/>
    </row>
  </sheetData>
  <mergeCells count="6">
    <mergeCell ref="A36:G36"/>
    <mergeCell ref="D45:G45"/>
    <mergeCell ref="D44:G44"/>
    <mergeCell ref="A45:B45"/>
    <mergeCell ref="A1:AB1"/>
    <mergeCell ref="A44:B44"/>
  </mergeCells>
  <conditionalFormatting sqref="A4:U33">
    <cfRule type="expression" priority="2" dxfId="2">
      <formula>$S4&lt;&gt;""</formula>
    </cfRule>
    <cfRule type="expression" priority="3" dxfId="1">
      <formula>$R4&lt;&gt;""</formula>
    </cfRule>
    <cfRule type="expression" priority="4" dxfId="0">
      <formula>$Q4&lt;&gt;""</formula>
    </cfRule>
  </conditionalFormatting>
  <dataValidations count="1">
    <dataValidation sqref="P4:P33" showDropDown="0" showInputMessage="1" showErrorMessage="1" allowBlank="1" type="list">
      <formula1>"Investor Override,Offer 1,Offer 2,Offer 3"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zoomScaleNormal="100" workbookViewId="0">
      <pane ySplit="3" topLeftCell="A4" activePane="bottomLeft" state="frozen"/>
      <selection pane="bottomLeft" activeCell="A1" sqref="A1:AB1"/>
    </sheetView>
  </sheetViews>
  <sheetFormatPr baseColWidth="10" defaultColWidth="8.6640625" defaultRowHeight="15" customHeight="1"/>
  <cols>
    <col width="23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ht="34.5" customHeight="1">
      <c r="A1" s="5">
        <f>SETUP!B3&amp;" - "&amp;SETUP!B4&amp;" Renewals"</f>
        <v/>
      </c>
    </row>
    <row r="2" ht="49.5" customHeight="1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ht="12.75" customHeight="1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ht="19.5" customHeight="1">
      <c r="A4" s="20" t="n"/>
      <c r="B4" s="18" t="n"/>
      <c r="C4" s="18" t="n"/>
      <c r="D4" s="37" t="n"/>
      <c r="E4" s="38">
        <f>IF(D4="","",D4-90)</f>
        <v/>
      </c>
      <c r="F4" s="38">
        <f>IF(D4="","",D4-60)</f>
        <v/>
      </c>
      <c r="G4" s="38">
        <f>IF(D4="","",D4-30)</f>
        <v/>
      </c>
      <c r="H4" s="39" t="n"/>
      <c r="I4" s="19" t="n"/>
      <c r="J4" s="40">
        <f>IF(I4="","",IF(ABS(N4-W4)&lt;=ABS(M4-W4),IF(ABS(N4-W4)&lt;=ABS(O4-W4),"Offer 2","Offer 3"),IF(ABS(M4-W4)&lt;=ABS(O4-W4),"Offer 1","Offer 3")))</f>
        <v/>
      </c>
      <c r="K4" s="78" t="n"/>
      <c r="L4" s="41">
        <f>IF(OR(I4="",K4=""),"",CEILING(I4*(1+K4),5))</f>
        <v/>
      </c>
      <c r="M4" s="41">
        <f>IF(I4="","",IF(X4="Under",CEILING(MAX(I4*1.02,MIN(V4,W4)*0.95),5),CEILING(MAX(I4*1.03,MIN(V4,W4)*0.97),5)))</f>
        <v/>
      </c>
      <c r="N4" s="41">
        <f>IF(I4="","",IF(X4="Under",CEILING(MAX(I4*1.03,(V4+W4)/2*0.96),5),CEILING(MAX(I4*1.05,(V4+W4)/2*0.98),5)))</f>
        <v/>
      </c>
      <c r="O4" s="41">
        <f>IF(I4="","",IF(X4="Under",CEILING(MAX(I4*1.05,MIN(V4,W4*1.01)),5),CEILING(MAX(I4*1.08,MIN(V4,W4*1.02)),5)))</f>
        <v/>
      </c>
      <c r="P4" s="18" t="n"/>
      <c r="Q4" s="18" t="n"/>
      <c r="R4" s="18" t="n"/>
      <c r="S4" s="18" t="n"/>
      <c r="T4" s="18" t="n"/>
      <c r="U4" s="18" t="n"/>
      <c r="V4" s="41">
        <f>IF(C4="","",IFERROR(VLOOKUP(C4,SETUP!$A$9:$D$18,2,0),"⚠ Check SETUP"))</f>
        <v/>
      </c>
      <c r="W4" s="41">
        <f>IF(C4="","",IFERROR(VLOOKUP(C4,SETUP!$A$9:$D$18,3,0),"⚠ Check SETUP"))</f>
        <v/>
      </c>
      <c r="X4" s="40">
        <f>IF(C4="","",IFERROR(VLOOKUP(C4,SETUP!$A$9:$D$18,4,0),"⚠ Check SETUP"))</f>
        <v/>
      </c>
      <c r="Y4" s="42">
        <f>IF(OR(I4="",M4=""),"",(M4-I4)/I4)</f>
        <v/>
      </c>
      <c r="Z4" s="42">
        <f>IF(OR(I4="",N4=""),"",(N4-I4)/I4)</f>
        <v/>
      </c>
      <c r="AA4" s="42">
        <f>IF(OR(I4="",O4=""),"",(O4-I4)/I4)</f>
        <v/>
      </c>
      <c r="AB4" s="42">
        <f>IF(OR(Q4="",S4&lt;&gt;"",P4="",I4=""),"",IF(P4="Investor Override",IF(L4="","",(L4-I4)/I4),IF(P4="Offer 1",IF(M4="","",(M4-I4)/I4),IF(P4="Offer 2",IF(N4="","",(N4-I4)/I4),IF(P4="Offer 3",IF(O4="","",(O4-I4)/I4),"")))))</f>
        <v/>
      </c>
    </row>
    <row r="5" ht="19.5" customHeight="1">
      <c r="A5" s="20" t="n"/>
      <c r="B5" s="18" t="n"/>
      <c r="C5" s="18" t="n"/>
      <c r="D5" s="37" t="n"/>
      <c r="E5" s="38">
        <f>IF(D5="","",D5-90)</f>
        <v/>
      </c>
      <c r="F5" s="38">
        <f>IF(D5="","",D5-60)</f>
        <v/>
      </c>
      <c r="G5" s="38">
        <f>IF(D5="","",D5-30)</f>
        <v/>
      </c>
      <c r="H5" s="39" t="n"/>
      <c r="I5" s="19" t="n"/>
      <c r="J5" s="40">
        <f>IF(I5="","",IF(ABS(N5-W5)&lt;=ABS(M5-W5),IF(ABS(N5-W5)&lt;=ABS(O5-W5),"Offer 2","Offer 3"),IF(ABS(M5-W5)&lt;=ABS(O5-W5),"Offer 1","Offer 3")))</f>
        <v/>
      </c>
      <c r="K5" s="78" t="n"/>
      <c r="L5" s="41">
        <f>IF(OR(I5="",K5=""),"",CEILING(I5*(1+K5),5))</f>
        <v/>
      </c>
      <c r="M5" s="41">
        <f>IF(I5="","",IF(X5="Under",CEILING(MAX(I5*1.02,MIN(V5,W5)*0.95),5),CEILING(MAX(I5*1.03,MIN(V5,W5)*0.97),5)))</f>
        <v/>
      </c>
      <c r="N5" s="41">
        <f>IF(I5="","",IF(X5="Under",CEILING(MAX(I5*1.03,(V5+W5)/2*0.96),5),CEILING(MAX(I5*1.05,(V5+W5)/2*0.98),5)))</f>
        <v/>
      </c>
      <c r="O5" s="41">
        <f>IF(I5="","",IF(X5="Under",CEILING(MAX(I5*1.05,MIN(V5,W5*1.01)),5),CEILING(MAX(I5*1.08,MIN(V5,W5*1.02)),5)))</f>
        <v/>
      </c>
      <c r="P5" s="18" t="n"/>
      <c r="Q5" s="18" t="n"/>
      <c r="R5" s="18" t="n"/>
      <c r="S5" s="18" t="n"/>
      <c r="T5" s="18" t="n"/>
      <c r="U5" s="18" t="n"/>
      <c r="V5" s="41">
        <f>IF(C5="","",IFERROR(VLOOKUP(C5,SETUP!$A$9:$D$18,2,0),"⚠ Check SETUP"))</f>
        <v/>
      </c>
      <c r="W5" s="41">
        <f>IF(C5="","",IFERROR(VLOOKUP(C5,SETUP!$A$9:$D$18,3,0),"⚠ Check SETUP"))</f>
        <v/>
      </c>
      <c r="X5" s="40">
        <f>IF(C5="","",IFERROR(VLOOKUP(C5,SETUP!$A$9:$D$18,4,0),"⚠ Check SETUP"))</f>
        <v/>
      </c>
      <c r="Y5" s="42">
        <f>IF(OR(I5="",M5=""),"",(M5-I5)/I5)</f>
        <v/>
      </c>
      <c r="Z5" s="42">
        <f>IF(OR(I5="",N5=""),"",(N5-I5)/I5)</f>
        <v/>
      </c>
      <c r="AA5" s="42">
        <f>IF(OR(I5="",O5=""),"",(O5-I5)/I5)</f>
        <v/>
      </c>
      <c r="AB5" s="42">
        <f>IF(OR(Q5="",S5&lt;&gt;"",P5="",I5=""),"",IF(P5="Investor Override",IF(L5="","",(L5-I5)/I5),IF(P5="Offer 1",IF(M5="","",(M5-I5)/I5),IF(P5="Offer 2",IF(N5="","",(N5-I5)/I5),IF(P5="Offer 3",IF(O5="","",(O5-I5)/I5),"")))))</f>
        <v/>
      </c>
    </row>
    <row r="6" ht="19.5" customHeight="1">
      <c r="A6" s="20" t="n"/>
      <c r="B6" s="18" t="n"/>
      <c r="C6" s="18" t="n"/>
      <c r="D6" s="37" t="n"/>
      <c r="E6" s="38">
        <f>IF(D6="","",D6-90)</f>
        <v/>
      </c>
      <c r="F6" s="38">
        <f>IF(D6="","",D6-60)</f>
        <v/>
      </c>
      <c r="G6" s="38">
        <f>IF(D6="","",D6-30)</f>
        <v/>
      </c>
      <c r="H6" s="39" t="n"/>
      <c r="I6" s="19" t="n"/>
      <c r="J6" s="40">
        <f>IF(I6="","",IF(ABS(N6-W6)&lt;=ABS(M6-W6),IF(ABS(N6-W6)&lt;=ABS(O6-W6),"Offer 2","Offer 3"),IF(ABS(M6-W6)&lt;=ABS(O6-W6),"Offer 1","Offer 3")))</f>
        <v/>
      </c>
      <c r="K6" s="78" t="n"/>
      <c r="L6" s="41">
        <f>IF(OR(I6="",K6=""),"",CEILING(I6*(1+K6),5))</f>
        <v/>
      </c>
      <c r="M6" s="41">
        <f>IF(I6="","",IF(X6="Under",CEILING(MAX(I6*1.02,MIN(V6,W6)*0.95),5),CEILING(MAX(I6*1.03,MIN(V6,W6)*0.97),5)))</f>
        <v/>
      </c>
      <c r="N6" s="41">
        <f>IF(I6="","",IF(X6="Under",CEILING(MAX(I6*1.03,(V6+W6)/2*0.96),5),CEILING(MAX(I6*1.05,(V6+W6)/2*0.98),5)))</f>
        <v/>
      </c>
      <c r="O6" s="41">
        <f>IF(I6="","",IF(X6="Under",CEILING(MAX(I6*1.05,MIN(V6,W6*1.01)),5),CEILING(MAX(I6*1.08,MIN(V6,W6*1.02)),5)))</f>
        <v/>
      </c>
      <c r="P6" s="18" t="n"/>
      <c r="Q6" s="18" t="n"/>
      <c r="R6" s="18" t="n"/>
      <c r="S6" s="18" t="n"/>
      <c r="T6" s="18" t="n"/>
      <c r="U6" s="18" t="n"/>
      <c r="V6" s="41">
        <f>IF(C6="","",IFERROR(VLOOKUP(C6,SETUP!$A$9:$D$18,2,0),"⚠ Check SETUP"))</f>
        <v/>
      </c>
      <c r="W6" s="41">
        <f>IF(C6="","",IFERROR(VLOOKUP(C6,SETUP!$A$9:$D$18,3,0),"⚠ Check SETUP"))</f>
        <v/>
      </c>
      <c r="X6" s="40">
        <f>IF(C6="","",IFERROR(VLOOKUP(C6,SETUP!$A$9:$D$18,4,0),"⚠ Check SETUP"))</f>
        <v/>
      </c>
      <c r="Y6" s="42">
        <f>IF(OR(I6="",M6=""),"",(M6-I6)/I6)</f>
        <v/>
      </c>
      <c r="Z6" s="42">
        <f>IF(OR(I6="",N6=""),"",(N6-I6)/I6)</f>
        <v/>
      </c>
      <c r="AA6" s="42">
        <f>IF(OR(I6="",O6=""),"",(O6-I6)/I6)</f>
        <v/>
      </c>
      <c r="AB6" s="42">
        <f>IF(OR(Q6="",S6&lt;&gt;"",P6="",I6=""),"",IF(P6="Investor Override",IF(L6="","",(L6-I6)/I6),IF(P6="Offer 1",IF(M6="","",(M6-I6)/I6),IF(P6="Offer 2",IF(N6="","",(N6-I6)/I6),IF(P6="Offer 3",IF(O6="","",(O6-I6)/I6),"")))))</f>
        <v/>
      </c>
    </row>
    <row r="7" ht="19.5" customHeight="1">
      <c r="A7" s="20" t="n"/>
      <c r="B7" s="18" t="n"/>
      <c r="C7" s="18" t="n"/>
      <c r="D7" s="37" t="n"/>
      <c r="E7" s="38">
        <f>IF(D7="","",D7-90)</f>
        <v/>
      </c>
      <c r="F7" s="38">
        <f>IF(D7="","",D7-60)</f>
        <v/>
      </c>
      <c r="G7" s="38">
        <f>IF(D7="","",D7-30)</f>
        <v/>
      </c>
      <c r="H7" s="39" t="n"/>
      <c r="I7" s="19" t="n"/>
      <c r="J7" s="40">
        <f>IF(I7="","",IF(ABS(N7-W7)&lt;=ABS(M7-W7),IF(ABS(N7-W7)&lt;=ABS(O7-W7),"Offer 2","Offer 3"),IF(ABS(M7-W7)&lt;=ABS(O7-W7),"Offer 1","Offer 3")))</f>
        <v/>
      </c>
      <c r="K7" s="78" t="n"/>
      <c r="L7" s="41">
        <f>IF(OR(I7="",K7=""),"",CEILING(I7*(1+K7),5))</f>
        <v/>
      </c>
      <c r="M7" s="41">
        <f>IF(I7="","",IF(X7="Under",CEILING(MAX(I7*1.02,MIN(V7,W7)*0.95),5),CEILING(MAX(I7*1.03,MIN(V7,W7)*0.97),5)))</f>
        <v/>
      </c>
      <c r="N7" s="41">
        <f>IF(I7="","",IF(X7="Under",CEILING(MAX(I7*1.03,(V7+W7)/2*0.96),5),CEILING(MAX(I7*1.05,(V7+W7)/2*0.98),5)))</f>
        <v/>
      </c>
      <c r="O7" s="41">
        <f>IF(I7="","",IF(X7="Under",CEILING(MAX(I7*1.05,MIN(V7,W7*1.01)),5),CEILING(MAX(I7*1.08,MIN(V7,W7*1.02)),5)))</f>
        <v/>
      </c>
      <c r="P7" s="18" t="n"/>
      <c r="Q7" s="18" t="n"/>
      <c r="R7" s="18" t="n"/>
      <c r="S7" s="18" t="n"/>
      <c r="T7" s="18" t="n"/>
      <c r="U7" s="18" t="n"/>
      <c r="V7" s="41">
        <f>IF(C7="","",IFERROR(VLOOKUP(C7,SETUP!$A$9:$D$18,2,0),"⚠ Check SETUP"))</f>
        <v/>
      </c>
      <c r="W7" s="41">
        <f>IF(C7="","",IFERROR(VLOOKUP(C7,SETUP!$A$9:$D$18,3,0),"⚠ Check SETUP"))</f>
        <v/>
      </c>
      <c r="X7" s="40">
        <f>IF(C7="","",IFERROR(VLOOKUP(C7,SETUP!$A$9:$D$18,4,0),"⚠ Check SETUP"))</f>
        <v/>
      </c>
      <c r="Y7" s="42">
        <f>IF(OR(I7="",M7=""),"",(M7-I7)/I7)</f>
        <v/>
      </c>
      <c r="Z7" s="42">
        <f>IF(OR(I7="",N7=""),"",(N7-I7)/I7)</f>
        <v/>
      </c>
      <c r="AA7" s="42">
        <f>IF(OR(I7="",O7=""),"",(O7-I7)/I7)</f>
        <v/>
      </c>
      <c r="AB7" s="42">
        <f>IF(OR(Q7="",S7&lt;&gt;"",P7="",I7=""),"",IF(P7="Investor Override",IF(L7="","",(L7-I7)/I7),IF(P7="Offer 1",IF(M7="","",(M7-I7)/I7),IF(P7="Offer 2",IF(N7="","",(N7-I7)/I7),IF(P7="Offer 3",IF(O7="","",(O7-I7)/I7),"")))))</f>
        <v/>
      </c>
    </row>
    <row r="8" ht="19.5" customHeight="1">
      <c r="A8" s="20" t="n"/>
      <c r="B8" s="18" t="n"/>
      <c r="C8" s="18" t="n"/>
      <c r="D8" s="37" t="n"/>
      <c r="E8" s="38">
        <f>IF(D8="","",D8-90)</f>
        <v/>
      </c>
      <c r="F8" s="38">
        <f>IF(D8="","",D8-60)</f>
        <v/>
      </c>
      <c r="G8" s="38">
        <f>IF(D8="","",D8-30)</f>
        <v/>
      </c>
      <c r="H8" s="39" t="n"/>
      <c r="I8" s="19" t="n"/>
      <c r="J8" s="40">
        <f>IF(I8="","",IF(ABS(N8-W8)&lt;=ABS(M8-W8),IF(ABS(N8-W8)&lt;=ABS(O8-W8),"Offer 2","Offer 3"),IF(ABS(M8-W8)&lt;=ABS(O8-W8),"Offer 1","Offer 3")))</f>
        <v/>
      </c>
      <c r="K8" s="78" t="n"/>
      <c r="L8" s="41">
        <f>IF(OR(I8="",K8=""),"",CEILING(I8*(1+K8),5))</f>
        <v/>
      </c>
      <c r="M8" s="41">
        <f>IF(I8="","",IF(X8="Under",CEILING(MAX(I8*1.02,MIN(V8,W8)*0.95),5),CEILING(MAX(I8*1.03,MIN(V8,W8)*0.97),5)))</f>
        <v/>
      </c>
      <c r="N8" s="41">
        <f>IF(I8="","",IF(X8="Under",CEILING(MAX(I8*1.03,(V8+W8)/2*0.96),5),CEILING(MAX(I8*1.05,(V8+W8)/2*0.98),5)))</f>
        <v/>
      </c>
      <c r="O8" s="41">
        <f>IF(I8="","",IF(X8="Under",CEILING(MAX(I8*1.05,MIN(V8,W8*1.01)),5),CEILING(MAX(I8*1.08,MIN(V8,W8*1.02)),5)))</f>
        <v/>
      </c>
      <c r="P8" s="18" t="n"/>
      <c r="Q8" s="18" t="n"/>
      <c r="R8" s="18" t="n"/>
      <c r="S8" s="18" t="n"/>
      <c r="T8" s="18" t="n"/>
      <c r="U8" s="18" t="n"/>
      <c r="V8" s="41">
        <f>IF(C8="","",IFERROR(VLOOKUP(C8,SETUP!$A$9:$D$18,2,0),"⚠ Check SETUP"))</f>
        <v/>
      </c>
      <c r="W8" s="41">
        <f>IF(C8="","",IFERROR(VLOOKUP(C8,SETUP!$A$9:$D$18,3,0),"⚠ Check SETUP"))</f>
        <v/>
      </c>
      <c r="X8" s="40">
        <f>IF(C8="","",IFERROR(VLOOKUP(C8,SETUP!$A$9:$D$18,4,0),"⚠ Check SETUP"))</f>
        <v/>
      </c>
      <c r="Y8" s="42">
        <f>IF(OR(I8="",M8=""),"",(M8-I8)/I8)</f>
        <v/>
      </c>
      <c r="Z8" s="42">
        <f>IF(OR(I8="",N8=""),"",(N8-I8)/I8)</f>
        <v/>
      </c>
      <c r="AA8" s="42">
        <f>IF(OR(I8="",O8=""),"",(O8-I8)/I8)</f>
        <v/>
      </c>
      <c r="AB8" s="42">
        <f>IF(OR(Q8="",S8&lt;&gt;"",P8="",I8=""),"",IF(P8="Investor Override",IF(L8="","",(L8-I8)/I8),IF(P8="Offer 1",IF(M8="","",(M8-I8)/I8),IF(P8="Offer 2",IF(N8="","",(N8-I8)/I8),IF(P8="Offer 3",IF(O8="","",(O8-I8)/I8),"")))))</f>
        <v/>
      </c>
    </row>
    <row r="9" ht="19.5" customHeight="1">
      <c r="A9" s="20" t="n"/>
      <c r="B9" s="18" t="n"/>
      <c r="C9" s="18" t="n"/>
      <c r="D9" s="37" t="n"/>
      <c r="E9" s="38">
        <f>IF(D9="","",D9-90)</f>
        <v/>
      </c>
      <c r="F9" s="38">
        <f>IF(D9="","",D9-60)</f>
        <v/>
      </c>
      <c r="G9" s="38">
        <f>IF(D9="","",D9-30)</f>
        <v/>
      </c>
      <c r="H9" s="39" t="n"/>
      <c r="I9" s="19" t="n"/>
      <c r="J9" s="40">
        <f>IF(I9="","",IF(ABS(N9-W9)&lt;=ABS(M9-W9),IF(ABS(N9-W9)&lt;=ABS(O9-W9),"Offer 2","Offer 3"),IF(ABS(M9-W9)&lt;=ABS(O9-W9),"Offer 1","Offer 3")))</f>
        <v/>
      </c>
      <c r="K9" s="78" t="n"/>
      <c r="L9" s="41">
        <f>IF(OR(I9="",K9=""),"",CEILING(I9*(1+K9),5))</f>
        <v/>
      </c>
      <c r="M9" s="41">
        <f>IF(I9="","",IF(X9="Under",CEILING(MAX(I9*1.02,MIN(V9,W9)*0.95),5),CEILING(MAX(I9*1.03,MIN(V9,W9)*0.97),5)))</f>
        <v/>
      </c>
      <c r="N9" s="41">
        <f>IF(I9="","",IF(X9="Under",CEILING(MAX(I9*1.03,(V9+W9)/2*0.96),5),CEILING(MAX(I9*1.05,(V9+W9)/2*0.98),5)))</f>
        <v/>
      </c>
      <c r="O9" s="41">
        <f>IF(I9="","",IF(X9="Under",CEILING(MAX(I9*1.05,MIN(V9,W9*1.01)),5),CEILING(MAX(I9*1.08,MIN(V9,W9*1.02)),5)))</f>
        <v/>
      </c>
      <c r="P9" s="18" t="n"/>
      <c r="Q9" s="18" t="n"/>
      <c r="R9" s="18" t="n"/>
      <c r="S9" s="18" t="n"/>
      <c r="T9" s="18" t="n"/>
      <c r="U9" s="18" t="n"/>
      <c r="V9" s="41">
        <f>IF(C9="","",IFERROR(VLOOKUP(C9,SETUP!$A$9:$D$18,2,0),"⚠ Check SETUP"))</f>
        <v/>
      </c>
      <c r="W9" s="41">
        <f>IF(C9="","",IFERROR(VLOOKUP(C9,SETUP!$A$9:$D$18,3,0),"⚠ Check SETUP"))</f>
        <v/>
      </c>
      <c r="X9" s="40">
        <f>IF(C9="","",IFERROR(VLOOKUP(C9,SETUP!$A$9:$D$18,4,0),"⚠ Check SETUP"))</f>
        <v/>
      </c>
      <c r="Y9" s="42">
        <f>IF(OR(I9="",M9=""),"",(M9-I9)/I9)</f>
        <v/>
      </c>
      <c r="Z9" s="42">
        <f>IF(OR(I9="",N9=""),"",(N9-I9)/I9)</f>
        <v/>
      </c>
      <c r="AA9" s="42">
        <f>IF(OR(I9="",O9=""),"",(O9-I9)/I9)</f>
        <v/>
      </c>
      <c r="AB9" s="42">
        <f>IF(OR(Q9="",S9&lt;&gt;"",P9="",I9=""),"",IF(P9="Investor Override",IF(L9="","",(L9-I9)/I9),IF(P9="Offer 1",IF(M9="","",(M9-I9)/I9),IF(P9="Offer 2",IF(N9="","",(N9-I9)/I9),IF(P9="Offer 3",IF(O9="","",(O9-I9)/I9),"")))))</f>
        <v/>
      </c>
    </row>
    <row r="10" ht="19.5" customHeight="1">
      <c r="A10" s="20" t="n"/>
      <c r="B10" s="18" t="n"/>
      <c r="C10" s="18" t="n"/>
      <c r="D10" s="37" t="n"/>
      <c r="E10" s="38">
        <f>IF(D10="","",D10-90)</f>
        <v/>
      </c>
      <c r="F10" s="38">
        <f>IF(D10="","",D10-60)</f>
        <v/>
      </c>
      <c r="G10" s="38">
        <f>IF(D10="","",D10-30)</f>
        <v/>
      </c>
      <c r="H10" s="39" t="n"/>
      <c r="I10" s="19" t="n"/>
      <c r="J10" s="40">
        <f>IF(I10="","",IF(ABS(N10-W10)&lt;=ABS(M10-W10),IF(ABS(N10-W10)&lt;=ABS(O10-W10),"Offer 2","Offer 3"),IF(ABS(M10-W10)&lt;=ABS(O10-W10),"Offer 1","Offer 3")))</f>
        <v/>
      </c>
      <c r="K10" s="78" t="n"/>
      <c r="L10" s="41">
        <f>IF(OR(I10="",K10=""),"",CEILING(I10*(1+K10),5))</f>
        <v/>
      </c>
      <c r="M10" s="41">
        <f>IF(I10="","",IF(X10="Under",CEILING(MAX(I10*1.02,MIN(V10,W10)*0.95),5),CEILING(MAX(I10*1.03,MIN(V10,W10)*0.97),5)))</f>
        <v/>
      </c>
      <c r="N10" s="41">
        <f>IF(I10="","",IF(X10="Under",CEILING(MAX(I10*1.03,(V10+W10)/2*0.96),5),CEILING(MAX(I10*1.05,(V10+W10)/2*0.98),5)))</f>
        <v/>
      </c>
      <c r="O10" s="41">
        <f>IF(I10="","",IF(X10="Under",CEILING(MAX(I10*1.05,MIN(V10,W10*1.01)),5),CEILING(MAX(I10*1.08,MIN(V10,W10*1.02)),5)))</f>
        <v/>
      </c>
      <c r="P10" s="18" t="n"/>
      <c r="Q10" s="18" t="n"/>
      <c r="R10" s="18" t="n"/>
      <c r="S10" s="18" t="n"/>
      <c r="T10" s="18" t="n"/>
      <c r="U10" s="18" t="n"/>
      <c r="V10" s="41">
        <f>IF(C10="","",IFERROR(VLOOKUP(C10,SETUP!$A$9:$D$18,2,0),"⚠ Check SETUP"))</f>
        <v/>
      </c>
      <c r="W10" s="41">
        <f>IF(C10="","",IFERROR(VLOOKUP(C10,SETUP!$A$9:$D$18,3,0),"⚠ Check SETUP"))</f>
        <v/>
      </c>
      <c r="X10" s="40">
        <f>IF(C10="","",IFERROR(VLOOKUP(C10,SETUP!$A$9:$D$18,4,0),"⚠ Check SETUP"))</f>
        <v/>
      </c>
      <c r="Y10" s="42">
        <f>IF(OR(I10="",M10=""),"",(M10-I10)/I10)</f>
        <v/>
      </c>
      <c r="Z10" s="42">
        <f>IF(OR(I10="",N10=""),"",(N10-I10)/I10)</f>
        <v/>
      </c>
      <c r="AA10" s="42">
        <f>IF(OR(I10="",O10=""),"",(O10-I10)/I10)</f>
        <v/>
      </c>
      <c r="AB10" s="42">
        <f>IF(OR(Q10="",S10&lt;&gt;"",P10="",I10=""),"",IF(P10="Investor Override",IF(L10="","",(L10-I10)/I10),IF(P10="Offer 1",IF(M10="","",(M10-I10)/I10),IF(P10="Offer 2",IF(N10="","",(N10-I10)/I10),IF(P10="Offer 3",IF(O10="","",(O10-I10)/I10),"")))))</f>
        <v/>
      </c>
    </row>
    <row r="11" ht="19.5" customHeight="1">
      <c r="A11" s="20" t="n"/>
      <c r="B11" s="18" t="n"/>
      <c r="C11" s="18" t="n"/>
      <c r="D11" s="37" t="n"/>
      <c r="E11" s="38">
        <f>IF(D11="","",D11-90)</f>
        <v/>
      </c>
      <c r="F11" s="38">
        <f>IF(D11="","",D11-60)</f>
        <v/>
      </c>
      <c r="G11" s="38">
        <f>IF(D11="","",D11-30)</f>
        <v/>
      </c>
      <c r="H11" s="39" t="n"/>
      <c r="I11" s="19" t="n"/>
      <c r="J11" s="40">
        <f>IF(I11="","",IF(ABS(N11-W11)&lt;=ABS(M11-W11),IF(ABS(N11-W11)&lt;=ABS(O11-W11),"Offer 2","Offer 3"),IF(ABS(M11-W11)&lt;=ABS(O11-W11),"Offer 1","Offer 3")))</f>
        <v/>
      </c>
      <c r="K11" s="78" t="n"/>
      <c r="L11" s="41">
        <f>IF(OR(I11="",K11=""),"",CEILING(I11*(1+K11),5))</f>
        <v/>
      </c>
      <c r="M11" s="41">
        <f>IF(I11="","",IF(X11="Under",CEILING(MAX(I11*1.02,MIN(V11,W11)*0.95),5),CEILING(MAX(I11*1.03,MIN(V11,W11)*0.97),5)))</f>
        <v/>
      </c>
      <c r="N11" s="41">
        <f>IF(I11="","",IF(X11="Under",CEILING(MAX(I11*1.03,(V11+W11)/2*0.96),5),CEILING(MAX(I11*1.05,(V11+W11)/2*0.98),5)))</f>
        <v/>
      </c>
      <c r="O11" s="41">
        <f>IF(I11="","",IF(X11="Under",CEILING(MAX(I11*1.05,MIN(V11,W11*1.01)),5),CEILING(MAX(I11*1.08,MIN(V11,W11*1.02)),5)))</f>
        <v/>
      </c>
      <c r="P11" s="18" t="n"/>
      <c r="Q11" s="18" t="n"/>
      <c r="R11" s="18" t="n"/>
      <c r="S11" s="18" t="n"/>
      <c r="T11" s="18" t="n"/>
      <c r="U11" s="18" t="n"/>
      <c r="V11" s="41">
        <f>IF(C11="","",IFERROR(VLOOKUP(C11,SETUP!$A$9:$D$18,2,0),"⚠ Check SETUP"))</f>
        <v/>
      </c>
      <c r="W11" s="41">
        <f>IF(C11="","",IFERROR(VLOOKUP(C11,SETUP!$A$9:$D$18,3,0),"⚠ Check SETUP"))</f>
        <v/>
      </c>
      <c r="X11" s="40">
        <f>IF(C11="","",IFERROR(VLOOKUP(C11,SETUP!$A$9:$D$18,4,0),"⚠ Check SETUP"))</f>
        <v/>
      </c>
      <c r="Y11" s="42">
        <f>IF(OR(I11="",M11=""),"",(M11-I11)/I11)</f>
        <v/>
      </c>
      <c r="Z11" s="42">
        <f>IF(OR(I11="",N11=""),"",(N11-I11)/I11)</f>
        <v/>
      </c>
      <c r="AA11" s="42">
        <f>IF(OR(I11="",O11=""),"",(O11-I11)/I11)</f>
        <v/>
      </c>
      <c r="AB11" s="42">
        <f>IF(OR(Q11="",S11&lt;&gt;"",P11="",I11=""),"",IF(P11="Investor Override",IF(L11="","",(L11-I11)/I11),IF(P11="Offer 1",IF(M11="","",(M11-I11)/I11),IF(P11="Offer 2",IF(N11="","",(N11-I11)/I11),IF(P11="Offer 3",IF(O11="","",(O11-I11)/I11),"")))))</f>
        <v/>
      </c>
    </row>
    <row r="12" ht="19.5" customHeight="1">
      <c r="A12" s="20" t="n"/>
      <c r="B12" s="18" t="n"/>
      <c r="C12" s="18" t="n"/>
      <c r="D12" s="37" t="n"/>
      <c r="E12" s="38">
        <f>IF(D12="","",D12-90)</f>
        <v/>
      </c>
      <c r="F12" s="38">
        <f>IF(D12="","",D12-60)</f>
        <v/>
      </c>
      <c r="G12" s="38">
        <f>IF(D12="","",D12-30)</f>
        <v/>
      </c>
      <c r="H12" s="39" t="n"/>
      <c r="I12" s="19" t="n"/>
      <c r="J12" s="40">
        <f>IF(I12="","",IF(ABS(N12-W12)&lt;=ABS(M12-W12),IF(ABS(N12-W12)&lt;=ABS(O12-W12),"Offer 2","Offer 3"),IF(ABS(M12-W12)&lt;=ABS(O12-W12),"Offer 1","Offer 3")))</f>
        <v/>
      </c>
      <c r="K12" s="78" t="n"/>
      <c r="L12" s="41">
        <f>IF(OR(I12="",K12=""),"",CEILING(I12*(1+K12),5))</f>
        <v/>
      </c>
      <c r="M12" s="41">
        <f>IF(I12="","",IF(X12="Under",CEILING(MAX(I12*1.02,MIN(V12,W12)*0.95),5),CEILING(MAX(I12*1.03,MIN(V12,W12)*0.97),5)))</f>
        <v/>
      </c>
      <c r="N12" s="41">
        <f>IF(I12="","",IF(X12="Under",CEILING(MAX(I12*1.03,(V12+W12)/2*0.96),5),CEILING(MAX(I12*1.05,(V12+W12)/2*0.98),5)))</f>
        <v/>
      </c>
      <c r="O12" s="41">
        <f>IF(I12="","",IF(X12="Under",CEILING(MAX(I12*1.05,MIN(V12,W12*1.01)),5),CEILING(MAX(I12*1.08,MIN(V12,W12*1.02)),5)))</f>
        <v/>
      </c>
      <c r="P12" s="18" t="n"/>
      <c r="Q12" s="18" t="n"/>
      <c r="R12" s="18" t="n"/>
      <c r="S12" s="18" t="n"/>
      <c r="T12" s="18" t="n"/>
      <c r="U12" s="18" t="n"/>
      <c r="V12" s="41">
        <f>IF(C12="","",IFERROR(VLOOKUP(C12,SETUP!$A$9:$D$18,2,0),"⚠ Check SETUP"))</f>
        <v/>
      </c>
      <c r="W12" s="41">
        <f>IF(C12="","",IFERROR(VLOOKUP(C12,SETUP!$A$9:$D$18,3,0),"⚠ Check SETUP"))</f>
        <v/>
      </c>
      <c r="X12" s="40">
        <f>IF(C12="","",IFERROR(VLOOKUP(C12,SETUP!$A$9:$D$18,4,0),"⚠ Check SETUP"))</f>
        <v/>
      </c>
      <c r="Y12" s="42">
        <f>IF(OR(I12="",M12=""),"",(M12-I12)/I12)</f>
        <v/>
      </c>
      <c r="Z12" s="42">
        <f>IF(OR(I12="",N12=""),"",(N12-I12)/I12)</f>
        <v/>
      </c>
      <c r="AA12" s="42">
        <f>IF(OR(I12="",O12=""),"",(O12-I12)/I12)</f>
        <v/>
      </c>
      <c r="AB12" s="42">
        <f>IF(OR(Q12="",S12&lt;&gt;"",P12="",I12=""),"",IF(P12="Investor Override",IF(L12="","",(L12-I12)/I12),IF(P12="Offer 1",IF(M12="","",(M12-I12)/I12),IF(P12="Offer 2",IF(N12="","",(N12-I12)/I12),IF(P12="Offer 3",IF(O12="","",(O12-I12)/I12),"")))))</f>
        <v/>
      </c>
    </row>
    <row r="13" ht="19.5" customHeight="1">
      <c r="A13" s="20" t="n"/>
      <c r="B13" s="18" t="n"/>
      <c r="C13" s="18" t="n"/>
      <c r="D13" s="37" t="n"/>
      <c r="E13" s="38">
        <f>IF(D13="","",D13-90)</f>
        <v/>
      </c>
      <c r="F13" s="38">
        <f>IF(D13="","",D13-60)</f>
        <v/>
      </c>
      <c r="G13" s="38">
        <f>IF(D13="","",D13-30)</f>
        <v/>
      </c>
      <c r="H13" s="39" t="n"/>
      <c r="I13" s="19" t="n"/>
      <c r="J13" s="40">
        <f>IF(I13="","",IF(ABS(N13-W13)&lt;=ABS(M13-W13),IF(ABS(N13-W13)&lt;=ABS(O13-W13),"Offer 2","Offer 3"),IF(ABS(M13-W13)&lt;=ABS(O13-W13),"Offer 1","Offer 3")))</f>
        <v/>
      </c>
      <c r="K13" s="78" t="n"/>
      <c r="L13" s="41">
        <f>IF(OR(I13="",K13=""),"",CEILING(I13*(1+K13),5))</f>
        <v/>
      </c>
      <c r="M13" s="41">
        <f>IF(I13="","",IF(X13="Under",CEILING(MAX(I13*1.02,MIN(V13,W13)*0.95),5),CEILING(MAX(I13*1.03,MIN(V13,W13)*0.97),5)))</f>
        <v/>
      </c>
      <c r="N13" s="41">
        <f>IF(I13="","",IF(X13="Under",CEILING(MAX(I13*1.03,(V13+W13)/2*0.96),5),CEILING(MAX(I13*1.05,(V13+W13)/2*0.98),5)))</f>
        <v/>
      </c>
      <c r="O13" s="41">
        <f>IF(I13="","",IF(X13="Under",CEILING(MAX(I13*1.05,MIN(V13,W13*1.01)),5),CEILING(MAX(I13*1.08,MIN(V13,W13*1.02)),5)))</f>
        <v/>
      </c>
      <c r="P13" s="18" t="n"/>
      <c r="Q13" s="18" t="n"/>
      <c r="R13" s="18" t="n"/>
      <c r="S13" s="18" t="n"/>
      <c r="T13" s="18" t="n"/>
      <c r="U13" s="18" t="n"/>
      <c r="V13" s="41">
        <f>IF(C13="","",IFERROR(VLOOKUP(C13,SETUP!$A$9:$D$18,2,0),"⚠ Check SETUP"))</f>
        <v/>
      </c>
      <c r="W13" s="41">
        <f>IF(C13="","",IFERROR(VLOOKUP(C13,SETUP!$A$9:$D$18,3,0),"⚠ Check SETUP"))</f>
        <v/>
      </c>
      <c r="X13" s="40">
        <f>IF(C13="","",IFERROR(VLOOKUP(C13,SETUP!$A$9:$D$18,4,0),"⚠ Check SETUP"))</f>
        <v/>
      </c>
      <c r="Y13" s="42">
        <f>IF(OR(I13="",M13=""),"",(M13-I13)/I13)</f>
        <v/>
      </c>
      <c r="Z13" s="42">
        <f>IF(OR(I13="",N13=""),"",(N13-I13)/I13)</f>
        <v/>
      </c>
      <c r="AA13" s="42">
        <f>IF(OR(I13="",O13=""),"",(O13-I13)/I13)</f>
        <v/>
      </c>
      <c r="AB13" s="42">
        <f>IF(OR(Q13="",S13&lt;&gt;"",P13="",I13=""),"",IF(P13="Investor Override",IF(L13="","",(L13-I13)/I13),IF(P13="Offer 1",IF(M13="","",(M13-I13)/I13),IF(P13="Offer 2",IF(N13="","",(N13-I13)/I13),IF(P13="Offer 3",IF(O13="","",(O13-I13)/I13),"")))))</f>
        <v/>
      </c>
    </row>
    <row r="14" ht="19.5" customHeight="1">
      <c r="A14" s="20" t="n"/>
      <c r="B14" s="18" t="n"/>
      <c r="C14" s="18" t="n"/>
      <c r="D14" s="37" t="n"/>
      <c r="E14" s="38">
        <f>IF(D14="","",D14-90)</f>
        <v/>
      </c>
      <c r="F14" s="38">
        <f>IF(D14="","",D14-60)</f>
        <v/>
      </c>
      <c r="G14" s="38">
        <f>IF(D14="","",D14-30)</f>
        <v/>
      </c>
      <c r="H14" s="39" t="n"/>
      <c r="I14" s="19" t="n"/>
      <c r="J14" s="40">
        <f>IF(I14="","",IF(ABS(N14-W14)&lt;=ABS(M14-W14),IF(ABS(N14-W14)&lt;=ABS(O14-W14),"Offer 2","Offer 3"),IF(ABS(M14-W14)&lt;=ABS(O14-W14),"Offer 1","Offer 3")))</f>
        <v/>
      </c>
      <c r="K14" s="78" t="n"/>
      <c r="L14" s="41">
        <f>IF(OR(I14="",K14=""),"",CEILING(I14*(1+K14),5))</f>
        <v/>
      </c>
      <c r="M14" s="41">
        <f>IF(I14="","",IF(X14="Under",CEILING(MAX(I14*1.02,MIN(V14,W14)*0.95),5),CEILING(MAX(I14*1.03,MIN(V14,W14)*0.97),5)))</f>
        <v/>
      </c>
      <c r="N14" s="41">
        <f>IF(I14="","",IF(X14="Under",CEILING(MAX(I14*1.03,(V14+W14)/2*0.96),5),CEILING(MAX(I14*1.05,(V14+W14)/2*0.98),5)))</f>
        <v/>
      </c>
      <c r="O14" s="41">
        <f>IF(I14="","",IF(X14="Under",CEILING(MAX(I14*1.05,MIN(V14,W14*1.01)),5),CEILING(MAX(I14*1.08,MIN(V14,W14*1.02)),5)))</f>
        <v/>
      </c>
      <c r="P14" s="18" t="n"/>
      <c r="Q14" s="18" t="n"/>
      <c r="R14" s="18" t="n"/>
      <c r="S14" s="18" t="n"/>
      <c r="T14" s="18" t="n"/>
      <c r="U14" s="18" t="n"/>
      <c r="V14" s="41">
        <f>IF(C14="","",IFERROR(VLOOKUP(C14,SETUP!$A$9:$D$18,2,0),"⚠ Check SETUP"))</f>
        <v/>
      </c>
      <c r="W14" s="41">
        <f>IF(C14="","",IFERROR(VLOOKUP(C14,SETUP!$A$9:$D$18,3,0),"⚠ Check SETUP"))</f>
        <v/>
      </c>
      <c r="X14" s="40">
        <f>IF(C14="","",IFERROR(VLOOKUP(C14,SETUP!$A$9:$D$18,4,0),"⚠ Check SETUP"))</f>
        <v/>
      </c>
      <c r="Y14" s="42">
        <f>IF(OR(I14="",M14=""),"",(M14-I14)/I14)</f>
        <v/>
      </c>
      <c r="Z14" s="42">
        <f>IF(OR(I14="",N14=""),"",(N14-I14)/I14)</f>
        <v/>
      </c>
      <c r="AA14" s="42">
        <f>IF(OR(I14="",O14=""),"",(O14-I14)/I14)</f>
        <v/>
      </c>
      <c r="AB14" s="42">
        <f>IF(OR(Q14="",S14&lt;&gt;"",P14="",I14=""),"",IF(P14="Investor Override",IF(L14="","",(L14-I14)/I14),IF(P14="Offer 1",IF(M14="","",(M14-I14)/I14),IF(P14="Offer 2",IF(N14="","",(N14-I14)/I14),IF(P14="Offer 3",IF(O14="","",(O14-I14)/I14),"")))))</f>
        <v/>
      </c>
    </row>
    <row r="15" ht="19.5" customHeight="1">
      <c r="A15" s="20" t="n"/>
      <c r="B15" s="18" t="n"/>
      <c r="C15" s="18" t="n"/>
      <c r="D15" s="37" t="n"/>
      <c r="E15" s="38">
        <f>IF(D15="","",D15-90)</f>
        <v/>
      </c>
      <c r="F15" s="38">
        <f>IF(D15="","",D15-60)</f>
        <v/>
      </c>
      <c r="G15" s="38">
        <f>IF(D15="","",D15-30)</f>
        <v/>
      </c>
      <c r="H15" s="39" t="n"/>
      <c r="I15" s="19" t="n"/>
      <c r="J15" s="40">
        <f>IF(I15="","",IF(ABS(N15-W15)&lt;=ABS(M15-W15),IF(ABS(N15-W15)&lt;=ABS(O15-W15),"Offer 2","Offer 3"),IF(ABS(M15-W15)&lt;=ABS(O15-W15),"Offer 1","Offer 3")))</f>
        <v/>
      </c>
      <c r="K15" s="78" t="n"/>
      <c r="L15" s="41">
        <f>IF(OR(I15="",K15=""),"",CEILING(I15*(1+K15),5))</f>
        <v/>
      </c>
      <c r="M15" s="41">
        <f>IF(I15="","",IF(X15="Under",CEILING(MAX(I15*1.02,MIN(V15,W15)*0.95),5),CEILING(MAX(I15*1.03,MIN(V15,W15)*0.97),5)))</f>
        <v/>
      </c>
      <c r="N15" s="41">
        <f>IF(I15="","",IF(X15="Under",CEILING(MAX(I15*1.03,(V15+W15)/2*0.96),5),CEILING(MAX(I15*1.05,(V15+W15)/2*0.98),5)))</f>
        <v/>
      </c>
      <c r="O15" s="41">
        <f>IF(I15="","",IF(X15="Under",CEILING(MAX(I15*1.05,MIN(V15,W15*1.01)),5),CEILING(MAX(I15*1.08,MIN(V15,W15*1.02)),5)))</f>
        <v/>
      </c>
      <c r="P15" s="18" t="n"/>
      <c r="Q15" s="18" t="n"/>
      <c r="R15" s="18" t="n"/>
      <c r="S15" s="18" t="n"/>
      <c r="T15" s="18" t="n"/>
      <c r="U15" s="18" t="n"/>
      <c r="V15" s="41">
        <f>IF(C15="","",IFERROR(VLOOKUP(C15,SETUP!$A$9:$D$18,2,0),"⚠ Check SETUP"))</f>
        <v/>
      </c>
      <c r="W15" s="41">
        <f>IF(C15="","",IFERROR(VLOOKUP(C15,SETUP!$A$9:$D$18,3,0),"⚠ Check SETUP"))</f>
        <v/>
      </c>
      <c r="X15" s="40">
        <f>IF(C15="","",IFERROR(VLOOKUP(C15,SETUP!$A$9:$D$18,4,0),"⚠ Check SETUP"))</f>
        <v/>
      </c>
      <c r="Y15" s="42">
        <f>IF(OR(I15="",M15=""),"",(M15-I15)/I15)</f>
        <v/>
      </c>
      <c r="Z15" s="42">
        <f>IF(OR(I15="",N15=""),"",(N15-I15)/I15)</f>
        <v/>
      </c>
      <c r="AA15" s="42">
        <f>IF(OR(I15="",O15=""),"",(O15-I15)/I15)</f>
        <v/>
      </c>
      <c r="AB15" s="42">
        <f>IF(OR(Q15="",S15&lt;&gt;"",P15="",I15=""),"",IF(P15="Investor Override",IF(L15="","",(L15-I15)/I15),IF(P15="Offer 1",IF(M15="","",(M15-I15)/I15),IF(P15="Offer 2",IF(N15="","",(N15-I15)/I15),IF(P15="Offer 3",IF(O15="","",(O15-I15)/I15),"")))))</f>
        <v/>
      </c>
    </row>
    <row r="16" ht="19.5" customHeight="1">
      <c r="A16" s="20" t="n"/>
      <c r="B16" s="18" t="n"/>
      <c r="C16" s="18" t="n"/>
      <c r="D16" s="37" t="n"/>
      <c r="E16" s="38">
        <f>IF(D16="","",D16-90)</f>
        <v/>
      </c>
      <c r="F16" s="38">
        <f>IF(D16="","",D16-60)</f>
        <v/>
      </c>
      <c r="G16" s="38">
        <f>IF(D16="","",D16-30)</f>
        <v/>
      </c>
      <c r="H16" s="39" t="n"/>
      <c r="I16" s="19" t="n"/>
      <c r="J16" s="40">
        <f>IF(I16="","",IF(ABS(N16-W16)&lt;=ABS(M16-W16),IF(ABS(N16-W16)&lt;=ABS(O16-W16),"Offer 2","Offer 3"),IF(ABS(M16-W16)&lt;=ABS(O16-W16),"Offer 1","Offer 3")))</f>
        <v/>
      </c>
      <c r="K16" s="78" t="n"/>
      <c r="L16" s="41">
        <f>IF(OR(I16="",K16=""),"",CEILING(I16*(1+K16),5))</f>
        <v/>
      </c>
      <c r="M16" s="41">
        <f>IF(I16="","",IF(X16="Under",CEILING(MAX(I16*1.02,MIN(V16,W16)*0.95),5),CEILING(MAX(I16*1.03,MIN(V16,W16)*0.97),5)))</f>
        <v/>
      </c>
      <c r="N16" s="41">
        <f>IF(I16="","",IF(X16="Under",CEILING(MAX(I16*1.03,(V16+W16)/2*0.96),5),CEILING(MAX(I16*1.05,(V16+W16)/2*0.98),5)))</f>
        <v/>
      </c>
      <c r="O16" s="41">
        <f>IF(I16="","",IF(X16="Under",CEILING(MAX(I16*1.05,MIN(V16,W16*1.01)),5),CEILING(MAX(I16*1.08,MIN(V16,W16*1.02)),5)))</f>
        <v/>
      </c>
      <c r="P16" s="18" t="n"/>
      <c r="Q16" s="18" t="n"/>
      <c r="R16" s="18" t="n"/>
      <c r="S16" s="18" t="n"/>
      <c r="T16" s="18" t="n"/>
      <c r="U16" s="18" t="n"/>
      <c r="V16" s="41">
        <f>IF(C16="","",IFERROR(VLOOKUP(C16,SETUP!$A$9:$D$18,2,0),"⚠ Check SETUP"))</f>
        <v/>
      </c>
      <c r="W16" s="41">
        <f>IF(C16="","",IFERROR(VLOOKUP(C16,SETUP!$A$9:$D$18,3,0),"⚠ Check SETUP"))</f>
        <v/>
      </c>
      <c r="X16" s="40">
        <f>IF(C16="","",IFERROR(VLOOKUP(C16,SETUP!$A$9:$D$18,4,0),"⚠ Check SETUP"))</f>
        <v/>
      </c>
      <c r="Y16" s="42">
        <f>IF(OR(I16="",M16=""),"",(M16-I16)/I16)</f>
        <v/>
      </c>
      <c r="Z16" s="42">
        <f>IF(OR(I16="",N16=""),"",(N16-I16)/I16)</f>
        <v/>
      </c>
      <c r="AA16" s="42">
        <f>IF(OR(I16="",O16=""),"",(O16-I16)/I16)</f>
        <v/>
      </c>
      <c r="AB16" s="42">
        <f>IF(OR(Q16="",S16&lt;&gt;"",P16="",I16=""),"",IF(P16="Investor Override",IF(L16="","",(L16-I16)/I16),IF(P16="Offer 1",IF(M16="","",(M16-I16)/I16),IF(P16="Offer 2",IF(N16="","",(N16-I16)/I16),IF(P16="Offer 3",IF(O16="","",(O16-I16)/I16),"")))))</f>
        <v/>
      </c>
    </row>
    <row r="17" ht="19.5" customHeight="1">
      <c r="A17" s="20" t="n"/>
      <c r="B17" s="18" t="n"/>
      <c r="C17" s="18" t="n"/>
      <c r="D17" s="37" t="n"/>
      <c r="E17" s="38">
        <f>IF(D17="","",D17-90)</f>
        <v/>
      </c>
      <c r="F17" s="38">
        <f>IF(D17="","",D17-60)</f>
        <v/>
      </c>
      <c r="G17" s="38">
        <f>IF(D17="","",D17-30)</f>
        <v/>
      </c>
      <c r="H17" s="39" t="n"/>
      <c r="I17" s="19" t="n"/>
      <c r="J17" s="40">
        <f>IF(I17="","",IF(ABS(N17-W17)&lt;=ABS(M17-W17),IF(ABS(N17-W17)&lt;=ABS(O17-W17),"Offer 2","Offer 3"),IF(ABS(M17-W17)&lt;=ABS(O17-W17),"Offer 1","Offer 3")))</f>
        <v/>
      </c>
      <c r="K17" s="78" t="n"/>
      <c r="L17" s="41">
        <f>IF(OR(I17="",K17=""),"",CEILING(I17*(1+K17),5))</f>
        <v/>
      </c>
      <c r="M17" s="41">
        <f>IF(I17="","",IF(X17="Under",CEILING(MAX(I17*1.02,MIN(V17,W17)*0.95),5),CEILING(MAX(I17*1.03,MIN(V17,W17)*0.97),5)))</f>
        <v/>
      </c>
      <c r="N17" s="41">
        <f>IF(I17="","",IF(X17="Under",CEILING(MAX(I17*1.03,(V17+W17)/2*0.96),5),CEILING(MAX(I17*1.05,(V17+W17)/2*0.98),5)))</f>
        <v/>
      </c>
      <c r="O17" s="41">
        <f>IF(I17="","",IF(X17="Under",CEILING(MAX(I17*1.05,MIN(V17,W17*1.01)),5),CEILING(MAX(I17*1.08,MIN(V17,W17*1.02)),5)))</f>
        <v/>
      </c>
      <c r="P17" s="18" t="n"/>
      <c r="Q17" s="18" t="n"/>
      <c r="R17" s="18" t="n"/>
      <c r="S17" s="18" t="n"/>
      <c r="T17" s="18" t="n"/>
      <c r="U17" s="18" t="n"/>
      <c r="V17" s="41">
        <f>IF(C17="","",IFERROR(VLOOKUP(C17,SETUP!$A$9:$D$18,2,0),"⚠ Check SETUP"))</f>
        <v/>
      </c>
      <c r="W17" s="41">
        <f>IF(C17="","",IFERROR(VLOOKUP(C17,SETUP!$A$9:$D$18,3,0),"⚠ Check SETUP"))</f>
        <v/>
      </c>
      <c r="X17" s="40">
        <f>IF(C17="","",IFERROR(VLOOKUP(C17,SETUP!$A$9:$D$18,4,0),"⚠ Check SETUP"))</f>
        <v/>
      </c>
      <c r="Y17" s="42">
        <f>IF(OR(I17="",M17=""),"",(M17-I17)/I17)</f>
        <v/>
      </c>
      <c r="Z17" s="42">
        <f>IF(OR(I17="",N17=""),"",(N17-I17)/I17)</f>
        <v/>
      </c>
      <c r="AA17" s="42">
        <f>IF(OR(I17="",O17=""),"",(O17-I17)/I17)</f>
        <v/>
      </c>
      <c r="AB17" s="42">
        <f>IF(OR(Q17="",S17&lt;&gt;"",P17="",I17=""),"",IF(P17="Investor Override",IF(L17="","",(L17-I17)/I17),IF(P17="Offer 1",IF(M17="","",(M17-I17)/I17),IF(P17="Offer 2",IF(N17="","",(N17-I17)/I17),IF(P17="Offer 3",IF(O17="","",(O17-I17)/I17),"")))))</f>
        <v/>
      </c>
    </row>
    <row r="18" ht="19.5" customHeight="1">
      <c r="A18" s="20" t="n"/>
      <c r="B18" s="18" t="n"/>
      <c r="C18" s="18" t="n"/>
      <c r="D18" s="37" t="n"/>
      <c r="E18" s="38">
        <f>IF(D18="","",D18-90)</f>
        <v/>
      </c>
      <c r="F18" s="38">
        <f>IF(D18="","",D18-60)</f>
        <v/>
      </c>
      <c r="G18" s="38">
        <f>IF(D18="","",D18-30)</f>
        <v/>
      </c>
      <c r="H18" s="39" t="n"/>
      <c r="I18" s="19" t="n"/>
      <c r="J18" s="40">
        <f>IF(I18="","",IF(ABS(N18-W18)&lt;=ABS(M18-W18),IF(ABS(N18-W18)&lt;=ABS(O18-W18),"Offer 2","Offer 3"),IF(ABS(M18-W18)&lt;=ABS(O18-W18),"Offer 1","Offer 3")))</f>
        <v/>
      </c>
      <c r="K18" s="78" t="n"/>
      <c r="L18" s="41">
        <f>IF(OR(I18="",K18=""),"",CEILING(I18*(1+K18),5))</f>
        <v/>
      </c>
      <c r="M18" s="41">
        <f>IF(I18="","",IF(X18="Under",CEILING(MAX(I18*1.02,MIN(V18,W18)*0.95),5),CEILING(MAX(I18*1.03,MIN(V18,W18)*0.97),5)))</f>
        <v/>
      </c>
      <c r="N18" s="41">
        <f>IF(I18="","",IF(X18="Under",CEILING(MAX(I18*1.03,(V18+W18)/2*0.96),5),CEILING(MAX(I18*1.05,(V18+W18)/2*0.98),5)))</f>
        <v/>
      </c>
      <c r="O18" s="41">
        <f>IF(I18="","",IF(X18="Under",CEILING(MAX(I18*1.05,MIN(V18,W18*1.01)),5),CEILING(MAX(I18*1.08,MIN(V18,W18*1.02)),5)))</f>
        <v/>
      </c>
      <c r="P18" s="18" t="n"/>
      <c r="Q18" s="18" t="n"/>
      <c r="R18" s="18" t="n"/>
      <c r="S18" s="18" t="n"/>
      <c r="T18" s="18" t="n"/>
      <c r="U18" s="18" t="n"/>
      <c r="V18" s="41">
        <f>IF(C18="","",IFERROR(VLOOKUP(C18,SETUP!$A$9:$D$18,2,0),"⚠ Check SETUP"))</f>
        <v/>
      </c>
      <c r="W18" s="41">
        <f>IF(C18="","",IFERROR(VLOOKUP(C18,SETUP!$A$9:$D$18,3,0),"⚠ Check SETUP"))</f>
        <v/>
      </c>
      <c r="X18" s="40">
        <f>IF(C18="","",IFERROR(VLOOKUP(C18,SETUP!$A$9:$D$18,4,0),"⚠ Check SETUP"))</f>
        <v/>
      </c>
      <c r="Y18" s="42">
        <f>IF(OR(I18="",M18=""),"",(M18-I18)/I18)</f>
        <v/>
      </c>
      <c r="Z18" s="42">
        <f>IF(OR(I18="",N18=""),"",(N18-I18)/I18)</f>
        <v/>
      </c>
      <c r="AA18" s="42">
        <f>IF(OR(I18="",O18=""),"",(O18-I18)/I18)</f>
        <v/>
      </c>
      <c r="AB18" s="42">
        <f>IF(OR(Q18="",S18&lt;&gt;"",P18="",I18=""),"",IF(P18="Investor Override",IF(L18="","",(L18-I18)/I18),IF(P18="Offer 1",IF(M18="","",(M18-I18)/I18),IF(P18="Offer 2",IF(N18="","",(N18-I18)/I18),IF(P18="Offer 3",IF(O18="","",(O18-I18)/I18),"")))))</f>
        <v/>
      </c>
    </row>
    <row r="19" ht="19.5" customHeight="1">
      <c r="A19" s="20" t="n"/>
      <c r="B19" s="18" t="n"/>
      <c r="C19" s="18" t="n"/>
      <c r="D19" s="37" t="n"/>
      <c r="E19" s="38">
        <f>IF(D19="","",D19-90)</f>
        <v/>
      </c>
      <c r="F19" s="38">
        <f>IF(D19="","",D19-60)</f>
        <v/>
      </c>
      <c r="G19" s="38">
        <f>IF(D19="","",D19-30)</f>
        <v/>
      </c>
      <c r="H19" s="39" t="n"/>
      <c r="I19" s="19" t="n"/>
      <c r="J19" s="40">
        <f>IF(I19="","",IF(ABS(N19-W19)&lt;=ABS(M19-W19),IF(ABS(N19-W19)&lt;=ABS(O19-W19),"Offer 2","Offer 3"),IF(ABS(M19-W19)&lt;=ABS(O19-W19),"Offer 1","Offer 3")))</f>
        <v/>
      </c>
      <c r="K19" s="78" t="n"/>
      <c r="L19" s="41">
        <f>IF(OR(I19="",K19=""),"",CEILING(I19*(1+K19),5))</f>
        <v/>
      </c>
      <c r="M19" s="41">
        <f>IF(I19="","",IF(X19="Under",CEILING(MAX(I19*1.02,MIN(V19,W19)*0.95),5),CEILING(MAX(I19*1.03,MIN(V19,W19)*0.97),5)))</f>
        <v/>
      </c>
      <c r="N19" s="41">
        <f>IF(I19="","",IF(X19="Under",CEILING(MAX(I19*1.03,(V19+W19)/2*0.96),5),CEILING(MAX(I19*1.05,(V19+W19)/2*0.98),5)))</f>
        <v/>
      </c>
      <c r="O19" s="41">
        <f>IF(I19="","",IF(X19="Under",CEILING(MAX(I19*1.05,MIN(V19,W19*1.01)),5),CEILING(MAX(I19*1.08,MIN(V19,W19*1.02)),5)))</f>
        <v/>
      </c>
      <c r="P19" s="18" t="n"/>
      <c r="Q19" s="18" t="n"/>
      <c r="R19" s="18" t="n"/>
      <c r="S19" s="18" t="n"/>
      <c r="T19" s="18" t="n"/>
      <c r="U19" s="18" t="n"/>
      <c r="V19" s="41">
        <f>IF(C19="","",IFERROR(VLOOKUP(C19,SETUP!$A$9:$D$18,2,0),"⚠ Check SETUP"))</f>
        <v/>
      </c>
      <c r="W19" s="41">
        <f>IF(C19="","",IFERROR(VLOOKUP(C19,SETUP!$A$9:$D$18,3,0),"⚠ Check SETUP"))</f>
        <v/>
      </c>
      <c r="X19" s="40">
        <f>IF(C19="","",IFERROR(VLOOKUP(C19,SETUP!$A$9:$D$18,4,0),"⚠ Check SETUP"))</f>
        <v/>
      </c>
      <c r="Y19" s="42">
        <f>IF(OR(I19="",M19=""),"",(M19-I19)/I19)</f>
        <v/>
      </c>
      <c r="Z19" s="42">
        <f>IF(OR(I19="",N19=""),"",(N19-I19)/I19)</f>
        <v/>
      </c>
      <c r="AA19" s="42">
        <f>IF(OR(I19="",O19=""),"",(O19-I19)/I19)</f>
        <v/>
      </c>
      <c r="AB19" s="42">
        <f>IF(OR(Q19="",S19&lt;&gt;"",P19="",I19=""),"",IF(P19="Investor Override",IF(L19="","",(L19-I19)/I19),IF(P19="Offer 1",IF(M19="","",(M19-I19)/I19),IF(P19="Offer 2",IF(N19="","",(N19-I19)/I19),IF(P19="Offer 3",IF(O19="","",(O19-I19)/I19),"")))))</f>
        <v/>
      </c>
    </row>
    <row r="20" ht="19.5" customHeight="1">
      <c r="A20" s="20" t="n"/>
      <c r="B20" s="18" t="n"/>
      <c r="C20" s="18" t="n"/>
      <c r="D20" s="37" t="n"/>
      <c r="E20" s="38">
        <f>IF(D20="","",D20-90)</f>
        <v/>
      </c>
      <c r="F20" s="38">
        <f>IF(D20="","",D20-60)</f>
        <v/>
      </c>
      <c r="G20" s="38">
        <f>IF(D20="","",D20-30)</f>
        <v/>
      </c>
      <c r="H20" s="39" t="n"/>
      <c r="I20" s="19" t="n"/>
      <c r="J20" s="40">
        <f>IF(I20="","",IF(ABS(N20-W20)&lt;=ABS(M20-W20),IF(ABS(N20-W20)&lt;=ABS(O20-W20),"Offer 2","Offer 3"),IF(ABS(M20-W20)&lt;=ABS(O20-W20),"Offer 1","Offer 3")))</f>
        <v/>
      </c>
      <c r="K20" s="78" t="n"/>
      <c r="L20" s="41">
        <f>IF(OR(I20="",K20=""),"",CEILING(I20*(1+K20),5))</f>
        <v/>
      </c>
      <c r="M20" s="41">
        <f>IF(I20="","",IF(X20="Under",CEILING(MAX(I20*1.02,MIN(V20,W20)*0.95),5),CEILING(MAX(I20*1.03,MIN(V20,W20)*0.97),5)))</f>
        <v/>
      </c>
      <c r="N20" s="41">
        <f>IF(I20="","",IF(X20="Under",CEILING(MAX(I20*1.03,(V20+W20)/2*0.96),5),CEILING(MAX(I20*1.05,(V20+W20)/2*0.98),5)))</f>
        <v/>
      </c>
      <c r="O20" s="41">
        <f>IF(I20="","",IF(X20="Under",CEILING(MAX(I20*1.05,MIN(V20,W20*1.01)),5),CEILING(MAX(I20*1.08,MIN(V20,W20*1.02)),5)))</f>
        <v/>
      </c>
      <c r="P20" s="18" t="n"/>
      <c r="Q20" s="18" t="n"/>
      <c r="R20" s="18" t="n"/>
      <c r="S20" s="18" t="n"/>
      <c r="T20" s="18" t="n"/>
      <c r="U20" s="18" t="n"/>
      <c r="V20" s="41">
        <f>IF(C20="","",IFERROR(VLOOKUP(C20,SETUP!$A$9:$D$18,2,0),"⚠ Check SETUP"))</f>
        <v/>
      </c>
      <c r="W20" s="41">
        <f>IF(C20="","",IFERROR(VLOOKUP(C20,SETUP!$A$9:$D$18,3,0),"⚠ Check SETUP"))</f>
        <v/>
      </c>
      <c r="X20" s="40">
        <f>IF(C20="","",IFERROR(VLOOKUP(C20,SETUP!$A$9:$D$18,4,0),"⚠ Check SETUP"))</f>
        <v/>
      </c>
      <c r="Y20" s="42">
        <f>IF(OR(I20="",M20=""),"",(M20-I20)/I20)</f>
        <v/>
      </c>
      <c r="Z20" s="42">
        <f>IF(OR(I20="",N20=""),"",(N20-I20)/I20)</f>
        <v/>
      </c>
      <c r="AA20" s="42">
        <f>IF(OR(I20="",O20=""),"",(O20-I20)/I20)</f>
        <v/>
      </c>
      <c r="AB20" s="42">
        <f>IF(OR(Q20="",S20&lt;&gt;"",P20="",I20=""),"",IF(P20="Investor Override",IF(L20="","",(L20-I20)/I20),IF(P20="Offer 1",IF(M20="","",(M20-I20)/I20),IF(P20="Offer 2",IF(N20="","",(N20-I20)/I20),IF(P20="Offer 3",IF(O20="","",(O20-I20)/I20),"")))))</f>
        <v/>
      </c>
    </row>
    <row r="21" ht="19.5" customHeight="1">
      <c r="A21" s="20" t="n"/>
      <c r="B21" s="18" t="n"/>
      <c r="C21" s="18" t="n"/>
      <c r="D21" s="37" t="n"/>
      <c r="E21" s="38">
        <f>IF(D21="","",D21-90)</f>
        <v/>
      </c>
      <c r="F21" s="38">
        <f>IF(D21="","",D21-60)</f>
        <v/>
      </c>
      <c r="G21" s="38">
        <f>IF(D21="","",D21-30)</f>
        <v/>
      </c>
      <c r="H21" s="39" t="n"/>
      <c r="I21" s="19" t="n"/>
      <c r="J21" s="40">
        <f>IF(I21="","",IF(ABS(N21-W21)&lt;=ABS(M21-W21),IF(ABS(N21-W21)&lt;=ABS(O21-W21),"Offer 2","Offer 3"),IF(ABS(M21-W21)&lt;=ABS(O21-W21),"Offer 1","Offer 3")))</f>
        <v/>
      </c>
      <c r="K21" s="78" t="n"/>
      <c r="L21" s="41">
        <f>IF(OR(I21="",K21=""),"",CEILING(I21*(1+K21),5))</f>
        <v/>
      </c>
      <c r="M21" s="41">
        <f>IF(I21="","",IF(X21="Under",CEILING(MAX(I21*1.02,MIN(V21,W21)*0.95),5),CEILING(MAX(I21*1.03,MIN(V21,W21)*0.97),5)))</f>
        <v/>
      </c>
      <c r="N21" s="41">
        <f>IF(I21="","",IF(X21="Under",CEILING(MAX(I21*1.03,(V21+W21)/2*0.96),5),CEILING(MAX(I21*1.05,(V21+W21)/2*0.98),5)))</f>
        <v/>
      </c>
      <c r="O21" s="41">
        <f>IF(I21="","",IF(X21="Under",CEILING(MAX(I21*1.05,MIN(V21,W21*1.01)),5),CEILING(MAX(I21*1.08,MIN(V21,W21*1.02)),5)))</f>
        <v/>
      </c>
      <c r="P21" s="18" t="n"/>
      <c r="Q21" s="18" t="n"/>
      <c r="R21" s="18" t="n"/>
      <c r="S21" s="18" t="n"/>
      <c r="T21" s="18" t="n"/>
      <c r="U21" s="18" t="n"/>
      <c r="V21" s="41">
        <f>IF(C21="","",IFERROR(VLOOKUP(C21,SETUP!$A$9:$D$18,2,0),"⚠ Check SETUP"))</f>
        <v/>
      </c>
      <c r="W21" s="41">
        <f>IF(C21="","",IFERROR(VLOOKUP(C21,SETUP!$A$9:$D$18,3,0),"⚠ Check SETUP"))</f>
        <v/>
      </c>
      <c r="X21" s="40">
        <f>IF(C21="","",IFERROR(VLOOKUP(C21,SETUP!$A$9:$D$18,4,0),"⚠ Check SETUP"))</f>
        <v/>
      </c>
      <c r="Y21" s="42">
        <f>IF(OR(I21="",M21=""),"",(M21-I21)/I21)</f>
        <v/>
      </c>
      <c r="Z21" s="42">
        <f>IF(OR(I21="",N21=""),"",(N21-I21)/I21)</f>
        <v/>
      </c>
      <c r="AA21" s="42">
        <f>IF(OR(I21="",O21=""),"",(O21-I21)/I21)</f>
        <v/>
      </c>
      <c r="AB21" s="42">
        <f>IF(OR(Q21="",S21&lt;&gt;"",P21="",I21=""),"",IF(P21="Investor Override",IF(L21="","",(L21-I21)/I21),IF(P21="Offer 1",IF(M21="","",(M21-I21)/I21),IF(P21="Offer 2",IF(N21="","",(N21-I21)/I21),IF(P21="Offer 3",IF(O21="","",(O21-I21)/I21),"")))))</f>
        <v/>
      </c>
    </row>
    <row r="22" ht="19.5" customHeight="1">
      <c r="A22" s="20" t="n"/>
      <c r="B22" s="18" t="n"/>
      <c r="C22" s="18" t="n"/>
      <c r="D22" s="37" t="n"/>
      <c r="E22" s="38">
        <f>IF(D22="","",D22-90)</f>
        <v/>
      </c>
      <c r="F22" s="38">
        <f>IF(D22="","",D22-60)</f>
        <v/>
      </c>
      <c r="G22" s="38">
        <f>IF(D22="","",D22-30)</f>
        <v/>
      </c>
      <c r="H22" s="39" t="n"/>
      <c r="I22" s="19" t="n"/>
      <c r="J22" s="40">
        <f>IF(I22="","",IF(ABS(N22-W22)&lt;=ABS(M22-W22),IF(ABS(N22-W22)&lt;=ABS(O22-W22),"Offer 2","Offer 3"),IF(ABS(M22-W22)&lt;=ABS(O22-W22),"Offer 1","Offer 3")))</f>
        <v/>
      </c>
      <c r="K22" s="78" t="n"/>
      <c r="L22" s="41">
        <f>IF(OR(I22="",K22=""),"",CEILING(I22*(1+K22),5))</f>
        <v/>
      </c>
      <c r="M22" s="41">
        <f>IF(I22="","",IF(X22="Under",CEILING(MAX(I22*1.02,MIN(V22,W22)*0.95),5),CEILING(MAX(I22*1.03,MIN(V22,W22)*0.97),5)))</f>
        <v/>
      </c>
      <c r="N22" s="41">
        <f>IF(I22="","",IF(X22="Under",CEILING(MAX(I22*1.03,(V22+W22)/2*0.96),5),CEILING(MAX(I22*1.05,(V22+W22)/2*0.98),5)))</f>
        <v/>
      </c>
      <c r="O22" s="41">
        <f>IF(I22="","",IF(X22="Under",CEILING(MAX(I22*1.05,MIN(V22,W22*1.01)),5),CEILING(MAX(I22*1.08,MIN(V22,W22*1.02)),5)))</f>
        <v/>
      </c>
      <c r="P22" s="18" t="n"/>
      <c r="Q22" s="18" t="n"/>
      <c r="R22" s="18" t="n"/>
      <c r="S22" s="18" t="n"/>
      <c r="T22" s="18" t="n"/>
      <c r="U22" s="18" t="n"/>
      <c r="V22" s="41">
        <f>IF(C22="","",IFERROR(VLOOKUP(C22,SETUP!$A$9:$D$18,2,0),"⚠ Check SETUP"))</f>
        <v/>
      </c>
      <c r="W22" s="41">
        <f>IF(C22="","",IFERROR(VLOOKUP(C22,SETUP!$A$9:$D$18,3,0),"⚠ Check SETUP"))</f>
        <v/>
      </c>
      <c r="X22" s="40">
        <f>IF(C22="","",IFERROR(VLOOKUP(C22,SETUP!$A$9:$D$18,4,0),"⚠ Check SETUP"))</f>
        <v/>
      </c>
      <c r="Y22" s="42">
        <f>IF(OR(I22="",M22=""),"",(M22-I22)/I22)</f>
        <v/>
      </c>
      <c r="Z22" s="42">
        <f>IF(OR(I22="",N22=""),"",(N22-I22)/I22)</f>
        <v/>
      </c>
      <c r="AA22" s="42">
        <f>IF(OR(I22="",O22=""),"",(O22-I22)/I22)</f>
        <v/>
      </c>
      <c r="AB22" s="42">
        <f>IF(OR(Q22="",S22&lt;&gt;"",P22="",I22=""),"",IF(P22="Investor Override",IF(L22="","",(L22-I22)/I22),IF(P22="Offer 1",IF(M22="","",(M22-I22)/I22),IF(P22="Offer 2",IF(N22="","",(N22-I22)/I22),IF(P22="Offer 3",IF(O22="","",(O22-I22)/I22),"")))))</f>
        <v/>
      </c>
    </row>
    <row r="23" ht="19.5" customHeight="1">
      <c r="A23" s="20" t="n"/>
      <c r="B23" s="18" t="n"/>
      <c r="C23" s="18" t="n"/>
      <c r="D23" s="37" t="n"/>
      <c r="E23" s="38">
        <f>IF(D23="","",D23-90)</f>
        <v/>
      </c>
      <c r="F23" s="38">
        <f>IF(D23="","",D23-60)</f>
        <v/>
      </c>
      <c r="G23" s="38">
        <f>IF(D23="","",D23-30)</f>
        <v/>
      </c>
      <c r="H23" s="39" t="n"/>
      <c r="I23" s="19" t="n"/>
      <c r="J23" s="40">
        <f>IF(I23="","",IF(ABS(N23-W23)&lt;=ABS(M23-W23),IF(ABS(N23-W23)&lt;=ABS(O23-W23),"Offer 2","Offer 3"),IF(ABS(M23-W23)&lt;=ABS(O23-W23),"Offer 1","Offer 3")))</f>
        <v/>
      </c>
      <c r="K23" s="78" t="n"/>
      <c r="L23" s="41">
        <f>IF(OR(I23="",K23=""),"",CEILING(I23*(1+K23),5))</f>
        <v/>
      </c>
      <c r="M23" s="41">
        <f>IF(I23="","",IF(X23="Under",CEILING(MAX(I23*1.02,MIN(V23,W23)*0.95),5),CEILING(MAX(I23*1.03,MIN(V23,W23)*0.97),5)))</f>
        <v/>
      </c>
      <c r="N23" s="41">
        <f>IF(I23="","",IF(X23="Under",CEILING(MAX(I23*1.03,(V23+W23)/2*0.96),5),CEILING(MAX(I23*1.05,(V23+W23)/2*0.98),5)))</f>
        <v/>
      </c>
      <c r="O23" s="41">
        <f>IF(I23="","",IF(X23="Under",CEILING(MAX(I23*1.05,MIN(V23,W23*1.01)),5),CEILING(MAX(I23*1.08,MIN(V23,W23*1.02)),5)))</f>
        <v/>
      </c>
      <c r="P23" s="18" t="n"/>
      <c r="Q23" s="18" t="n"/>
      <c r="R23" s="18" t="n"/>
      <c r="S23" s="18" t="n"/>
      <c r="T23" s="18" t="n"/>
      <c r="U23" s="18" t="n"/>
      <c r="V23" s="41">
        <f>IF(C23="","",IFERROR(VLOOKUP(C23,SETUP!$A$9:$D$18,2,0),"⚠ Check SETUP"))</f>
        <v/>
      </c>
      <c r="W23" s="41">
        <f>IF(C23="","",IFERROR(VLOOKUP(C23,SETUP!$A$9:$D$18,3,0),"⚠ Check SETUP"))</f>
        <v/>
      </c>
      <c r="X23" s="40">
        <f>IF(C23="","",IFERROR(VLOOKUP(C23,SETUP!$A$9:$D$18,4,0),"⚠ Check SETUP"))</f>
        <v/>
      </c>
      <c r="Y23" s="42">
        <f>IF(OR(I23="",M23=""),"",(M23-I23)/I23)</f>
        <v/>
      </c>
      <c r="Z23" s="42">
        <f>IF(OR(I23="",N23=""),"",(N23-I23)/I23)</f>
        <v/>
      </c>
      <c r="AA23" s="42">
        <f>IF(OR(I23="",O23=""),"",(O23-I23)/I23)</f>
        <v/>
      </c>
      <c r="AB23" s="42">
        <f>IF(OR(Q23="",S23&lt;&gt;"",P23="",I23=""),"",IF(P23="Investor Override",IF(L23="","",(L23-I23)/I23),IF(P23="Offer 1",IF(M23="","",(M23-I23)/I23),IF(P23="Offer 2",IF(N23="","",(N23-I23)/I23),IF(P23="Offer 3",IF(O23="","",(O23-I23)/I23),"")))))</f>
        <v/>
      </c>
    </row>
    <row r="24" ht="19.5" customHeight="1">
      <c r="A24" s="20" t="n"/>
      <c r="B24" s="18" t="n"/>
      <c r="C24" s="18" t="n"/>
      <c r="D24" s="37" t="n"/>
      <c r="E24" s="38">
        <f>IF(D24="","",D24-90)</f>
        <v/>
      </c>
      <c r="F24" s="38">
        <f>IF(D24="","",D24-60)</f>
        <v/>
      </c>
      <c r="G24" s="38">
        <f>IF(D24="","",D24-30)</f>
        <v/>
      </c>
      <c r="H24" s="39" t="n"/>
      <c r="I24" s="19" t="n"/>
      <c r="J24" s="40">
        <f>IF(I24="","",IF(ABS(N24-W24)&lt;=ABS(M24-W24),IF(ABS(N24-W24)&lt;=ABS(O24-W24),"Offer 2","Offer 3"),IF(ABS(M24-W24)&lt;=ABS(O24-W24),"Offer 1","Offer 3")))</f>
        <v/>
      </c>
      <c r="K24" s="78" t="n"/>
      <c r="L24" s="41">
        <f>IF(OR(I24="",K24=""),"",CEILING(I24*(1+K24),5))</f>
        <v/>
      </c>
      <c r="M24" s="41">
        <f>IF(I24="","",IF(X24="Under",CEILING(MAX(I24*1.02,MIN(V24,W24)*0.95),5),CEILING(MAX(I24*1.03,MIN(V24,W24)*0.97),5)))</f>
        <v/>
      </c>
      <c r="N24" s="41">
        <f>IF(I24="","",IF(X24="Under",CEILING(MAX(I24*1.03,(V24+W24)/2*0.96),5),CEILING(MAX(I24*1.05,(V24+W24)/2*0.98),5)))</f>
        <v/>
      </c>
      <c r="O24" s="41">
        <f>IF(I24="","",IF(X24="Under",CEILING(MAX(I24*1.05,MIN(V24,W24*1.01)),5),CEILING(MAX(I24*1.08,MIN(V24,W24*1.02)),5)))</f>
        <v/>
      </c>
      <c r="P24" s="18" t="n"/>
      <c r="Q24" s="18" t="n"/>
      <c r="R24" s="18" t="n"/>
      <c r="S24" s="18" t="n"/>
      <c r="T24" s="18" t="n"/>
      <c r="U24" s="18" t="n"/>
      <c r="V24" s="41">
        <f>IF(C24="","",IFERROR(VLOOKUP(C24,SETUP!$A$9:$D$18,2,0),"⚠ Check SETUP"))</f>
        <v/>
      </c>
      <c r="W24" s="41">
        <f>IF(C24="","",IFERROR(VLOOKUP(C24,SETUP!$A$9:$D$18,3,0),"⚠ Check SETUP"))</f>
        <v/>
      </c>
      <c r="X24" s="40">
        <f>IF(C24="","",IFERROR(VLOOKUP(C24,SETUP!$A$9:$D$18,4,0),"⚠ Check SETUP"))</f>
        <v/>
      </c>
      <c r="Y24" s="42">
        <f>IF(OR(I24="",M24=""),"",(M24-I24)/I24)</f>
        <v/>
      </c>
      <c r="Z24" s="42">
        <f>IF(OR(I24="",N24=""),"",(N24-I24)/I24)</f>
        <v/>
      </c>
      <c r="AA24" s="42">
        <f>IF(OR(I24="",O24=""),"",(O24-I24)/I24)</f>
        <v/>
      </c>
      <c r="AB24" s="42">
        <f>IF(OR(Q24="",S24&lt;&gt;"",P24="",I24=""),"",IF(P24="Investor Override",IF(L24="","",(L24-I24)/I24),IF(P24="Offer 1",IF(M24="","",(M24-I24)/I24),IF(P24="Offer 2",IF(N24="","",(N24-I24)/I24),IF(P24="Offer 3",IF(O24="","",(O24-I24)/I24),"")))))</f>
        <v/>
      </c>
    </row>
    <row r="25" ht="19.5" customHeight="1">
      <c r="A25" s="20" t="n"/>
      <c r="B25" s="18" t="n"/>
      <c r="C25" s="18" t="n"/>
      <c r="D25" s="37" t="n"/>
      <c r="E25" s="38">
        <f>IF(D25="","",D25-90)</f>
        <v/>
      </c>
      <c r="F25" s="38">
        <f>IF(D25="","",D25-60)</f>
        <v/>
      </c>
      <c r="G25" s="38">
        <f>IF(D25="","",D25-30)</f>
        <v/>
      </c>
      <c r="H25" s="39" t="n"/>
      <c r="I25" s="19" t="n"/>
      <c r="J25" s="40">
        <f>IF(I25="","",IF(ABS(N25-W25)&lt;=ABS(M25-W25),IF(ABS(N25-W25)&lt;=ABS(O25-W25),"Offer 2","Offer 3"),IF(ABS(M25-W25)&lt;=ABS(O25-W25),"Offer 1","Offer 3")))</f>
        <v/>
      </c>
      <c r="K25" s="78" t="n"/>
      <c r="L25" s="41">
        <f>IF(OR(I25="",K25=""),"",CEILING(I25*(1+K25),5))</f>
        <v/>
      </c>
      <c r="M25" s="41">
        <f>IF(I25="","",IF(X25="Under",CEILING(MAX(I25*1.02,MIN(V25,W25)*0.95),5),CEILING(MAX(I25*1.03,MIN(V25,W25)*0.97),5)))</f>
        <v/>
      </c>
      <c r="N25" s="41">
        <f>IF(I25="","",IF(X25="Under",CEILING(MAX(I25*1.03,(V25+W25)/2*0.96),5),CEILING(MAX(I25*1.05,(V25+W25)/2*0.98),5)))</f>
        <v/>
      </c>
      <c r="O25" s="41">
        <f>IF(I25="","",IF(X25="Under",CEILING(MAX(I25*1.05,MIN(V25,W25*1.01)),5),CEILING(MAX(I25*1.08,MIN(V25,W25*1.02)),5)))</f>
        <v/>
      </c>
      <c r="P25" s="18" t="n"/>
      <c r="Q25" s="18" t="n"/>
      <c r="R25" s="18" t="n"/>
      <c r="S25" s="18" t="n"/>
      <c r="T25" s="18" t="n"/>
      <c r="U25" s="18" t="n"/>
      <c r="V25" s="41">
        <f>IF(C25="","",IFERROR(VLOOKUP(C25,SETUP!$A$9:$D$18,2,0),"⚠ Check SETUP"))</f>
        <v/>
      </c>
      <c r="W25" s="41">
        <f>IF(C25="","",IFERROR(VLOOKUP(C25,SETUP!$A$9:$D$18,3,0),"⚠ Check SETUP"))</f>
        <v/>
      </c>
      <c r="X25" s="40">
        <f>IF(C25="","",IFERROR(VLOOKUP(C25,SETUP!$A$9:$D$18,4,0),"⚠ Check SETUP"))</f>
        <v/>
      </c>
      <c r="Y25" s="42">
        <f>IF(OR(I25="",M25=""),"",(M25-I25)/I25)</f>
        <v/>
      </c>
      <c r="Z25" s="42">
        <f>IF(OR(I25="",N25=""),"",(N25-I25)/I25)</f>
        <v/>
      </c>
      <c r="AA25" s="42">
        <f>IF(OR(I25="",O25=""),"",(O25-I25)/I25)</f>
        <v/>
      </c>
      <c r="AB25" s="42">
        <f>IF(OR(Q25="",S25&lt;&gt;"",P25="",I25=""),"",IF(P25="Investor Override",IF(L25="","",(L25-I25)/I25),IF(P25="Offer 1",IF(M25="","",(M25-I25)/I25),IF(P25="Offer 2",IF(N25="","",(N25-I25)/I25),IF(P25="Offer 3",IF(O25="","",(O25-I25)/I25),"")))))</f>
        <v/>
      </c>
    </row>
    <row r="26" ht="19.5" customHeight="1">
      <c r="A26" s="20" t="n"/>
      <c r="B26" s="18" t="n"/>
      <c r="C26" s="18" t="n"/>
      <c r="D26" s="37" t="n"/>
      <c r="E26" s="38">
        <f>IF(D26="","",D26-90)</f>
        <v/>
      </c>
      <c r="F26" s="38">
        <f>IF(D26="","",D26-60)</f>
        <v/>
      </c>
      <c r="G26" s="38">
        <f>IF(D26="","",D26-30)</f>
        <v/>
      </c>
      <c r="H26" s="39" t="n"/>
      <c r="I26" s="19" t="n"/>
      <c r="J26" s="40">
        <f>IF(I26="","",IF(ABS(N26-W26)&lt;=ABS(M26-W26),IF(ABS(N26-W26)&lt;=ABS(O26-W26),"Offer 2","Offer 3"),IF(ABS(M26-W26)&lt;=ABS(O26-W26),"Offer 1","Offer 3")))</f>
        <v/>
      </c>
      <c r="K26" s="78" t="n"/>
      <c r="L26" s="41">
        <f>IF(OR(I26="",K26=""),"",CEILING(I26*(1+K26),5))</f>
        <v/>
      </c>
      <c r="M26" s="41">
        <f>IF(I26="","",IF(X26="Under",CEILING(MAX(I26*1.02,MIN(V26,W26)*0.95),5),CEILING(MAX(I26*1.03,MIN(V26,W26)*0.97),5)))</f>
        <v/>
      </c>
      <c r="N26" s="41">
        <f>IF(I26="","",IF(X26="Under",CEILING(MAX(I26*1.03,(V26+W26)/2*0.96),5),CEILING(MAX(I26*1.05,(V26+W26)/2*0.98),5)))</f>
        <v/>
      </c>
      <c r="O26" s="41">
        <f>IF(I26="","",IF(X26="Under",CEILING(MAX(I26*1.05,MIN(V26,W26*1.01)),5),CEILING(MAX(I26*1.08,MIN(V26,W26*1.02)),5)))</f>
        <v/>
      </c>
      <c r="P26" s="18" t="n"/>
      <c r="Q26" s="18" t="n"/>
      <c r="R26" s="18" t="n"/>
      <c r="S26" s="18" t="n"/>
      <c r="T26" s="18" t="n"/>
      <c r="U26" s="18" t="n"/>
      <c r="V26" s="41">
        <f>IF(C26="","",IFERROR(VLOOKUP(C26,SETUP!$A$9:$D$18,2,0),"⚠ Check SETUP"))</f>
        <v/>
      </c>
      <c r="W26" s="41">
        <f>IF(C26="","",IFERROR(VLOOKUP(C26,SETUP!$A$9:$D$18,3,0),"⚠ Check SETUP"))</f>
        <v/>
      </c>
      <c r="X26" s="40">
        <f>IF(C26="","",IFERROR(VLOOKUP(C26,SETUP!$A$9:$D$18,4,0),"⚠ Check SETUP"))</f>
        <v/>
      </c>
      <c r="Y26" s="42">
        <f>IF(OR(I26="",M26=""),"",(M26-I26)/I26)</f>
        <v/>
      </c>
      <c r="Z26" s="42">
        <f>IF(OR(I26="",N26=""),"",(N26-I26)/I26)</f>
        <v/>
      </c>
      <c r="AA26" s="42">
        <f>IF(OR(I26="",O26=""),"",(O26-I26)/I26)</f>
        <v/>
      </c>
      <c r="AB26" s="42">
        <f>IF(OR(Q26="",S26&lt;&gt;"",P26="",I26=""),"",IF(P26="Investor Override",IF(L26="","",(L26-I26)/I26),IF(P26="Offer 1",IF(M26="","",(M26-I26)/I26),IF(P26="Offer 2",IF(N26="","",(N26-I26)/I26),IF(P26="Offer 3",IF(O26="","",(O26-I26)/I26),"")))))</f>
        <v/>
      </c>
    </row>
    <row r="27" ht="19.5" customHeight="1">
      <c r="A27" s="20" t="n"/>
      <c r="B27" s="18" t="n"/>
      <c r="C27" s="18" t="n"/>
      <c r="D27" s="37" t="n"/>
      <c r="E27" s="38">
        <f>IF(D27="","",D27-90)</f>
        <v/>
      </c>
      <c r="F27" s="38">
        <f>IF(D27="","",D27-60)</f>
        <v/>
      </c>
      <c r="G27" s="38">
        <f>IF(D27="","",D27-30)</f>
        <v/>
      </c>
      <c r="H27" s="39" t="n"/>
      <c r="I27" s="19" t="n"/>
      <c r="J27" s="40">
        <f>IF(I27="","",IF(ABS(N27-W27)&lt;=ABS(M27-W27),IF(ABS(N27-W27)&lt;=ABS(O27-W27),"Offer 2","Offer 3"),IF(ABS(M27-W27)&lt;=ABS(O27-W27),"Offer 1","Offer 3")))</f>
        <v/>
      </c>
      <c r="K27" s="78" t="n"/>
      <c r="L27" s="41">
        <f>IF(OR(I27="",K27=""),"",CEILING(I27*(1+K27),5))</f>
        <v/>
      </c>
      <c r="M27" s="41">
        <f>IF(I27="","",IF(X27="Under",CEILING(MAX(I27*1.02,MIN(V27,W27)*0.95),5),CEILING(MAX(I27*1.03,MIN(V27,W27)*0.97),5)))</f>
        <v/>
      </c>
      <c r="N27" s="41">
        <f>IF(I27="","",IF(X27="Under",CEILING(MAX(I27*1.03,(V27+W27)/2*0.96),5),CEILING(MAX(I27*1.05,(V27+W27)/2*0.98),5)))</f>
        <v/>
      </c>
      <c r="O27" s="41">
        <f>IF(I27="","",IF(X27="Under",CEILING(MAX(I27*1.05,MIN(V27,W27*1.01)),5),CEILING(MAX(I27*1.08,MIN(V27,W27*1.02)),5)))</f>
        <v/>
      </c>
      <c r="P27" s="18" t="n"/>
      <c r="Q27" s="18" t="n"/>
      <c r="R27" s="18" t="n"/>
      <c r="S27" s="18" t="n"/>
      <c r="T27" s="18" t="n"/>
      <c r="U27" s="18" t="n"/>
      <c r="V27" s="41">
        <f>IF(C27="","",IFERROR(VLOOKUP(C27,SETUP!$A$9:$D$18,2,0),"⚠ Check SETUP"))</f>
        <v/>
      </c>
      <c r="W27" s="41">
        <f>IF(C27="","",IFERROR(VLOOKUP(C27,SETUP!$A$9:$D$18,3,0),"⚠ Check SETUP"))</f>
        <v/>
      </c>
      <c r="X27" s="40">
        <f>IF(C27="","",IFERROR(VLOOKUP(C27,SETUP!$A$9:$D$18,4,0),"⚠ Check SETUP"))</f>
        <v/>
      </c>
      <c r="Y27" s="42">
        <f>IF(OR(I27="",M27=""),"",(M27-I27)/I27)</f>
        <v/>
      </c>
      <c r="Z27" s="42">
        <f>IF(OR(I27="",N27=""),"",(N27-I27)/I27)</f>
        <v/>
      </c>
      <c r="AA27" s="42">
        <f>IF(OR(I27="",O27=""),"",(O27-I27)/I27)</f>
        <v/>
      </c>
      <c r="AB27" s="42">
        <f>IF(OR(Q27="",S27&lt;&gt;"",P27="",I27=""),"",IF(P27="Investor Override",IF(L27="","",(L27-I27)/I27),IF(P27="Offer 1",IF(M27="","",(M27-I27)/I27),IF(P27="Offer 2",IF(N27="","",(N27-I27)/I27),IF(P27="Offer 3",IF(O27="","",(O27-I27)/I27),"")))))</f>
        <v/>
      </c>
    </row>
    <row r="28" ht="19.5" customHeight="1">
      <c r="A28" s="20" t="n"/>
      <c r="B28" s="18" t="n"/>
      <c r="C28" s="18" t="n"/>
      <c r="D28" s="37" t="n"/>
      <c r="E28" s="38">
        <f>IF(D28="","",D28-90)</f>
        <v/>
      </c>
      <c r="F28" s="38">
        <f>IF(D28="","",D28-60)</f>
        <v/>
      </c>
      <c r="G28" s="38">
        <f>IF(D28="","",D28-30)</f>
        <v/>
      </c>
      <c r="H28" s="39" t="n"/>
      <c r="I28" s="19" t="n"/>
      <c r="J28" s="40">
        <f>IF(I28="","",IF(ABS(N28-W28)&lt;=ABS(M28-W28),IF(ABS(N28-W28)&lt;=ABS(O28-W28),"Offer 2","Offer 3"),IF(ABS(M28-W28)&lt;=ABS(O28-W28),"Offer 1","Offer 3")))</f>
        <v/>
      </c>
      <c r="K28" s="78" t="n"/>
      <c r="L28" s="41">
        <f>IF(OR(I28="",K28=""),"",CEILING(I28*(1+K28),5))</f>
        <v/>
      </c>
      <c r="M28" s="41">
        <f>IF(I28="","",IF(X28="Under",CEILING(MAX(I28*1.02,MIN(V28,W28)*0.95),5),CEILING(MAX(I28*1.03,MIN(V28,W28)*0.97),5)))</f>
        <v/>
      </c>
      <c r="N28" s="41">
        <f>IF(I28="","",IF(X28="Under",CEILING(MAX(I28*1.03,(V28+W28)/2*0.96),5),CEILING(MAX(I28*1.05,(V28+W28)/2*0.98),5)))</f>
        <v/>
      </c>
      <c r="O28" s="41">
        <f>IF(I28="","",IF(X28="Under",CEILING(MAX(I28*1.05,MIN(V28,W28*1.01)),5),CEILING(MAX(I28*1.08,MIN(V28,W28*1.02)),5)))</f>
        <v/>
      </c>
      <c r="P28" s="18" t="n"/>
      <c r="Q28" s="18" t="n"/>
      <c r="R28" s="18" t="n"/>
      <c r="S28" s="18" t="n"/>
      <c r="T28" s="18" t="n"/>
      <c r="U28" s="18" t="n"/>
      <c r="V28" s="41">
        <f>IF(C28="","",IFERROR(VLOOKUP(C28,SETUP!$A$9:$D$18,2,0),"⚠ Check SETUP"))</f>
        <v/>
      </c>
      <c r="W28" s="41">
        <f>IF(C28="","",IFERROR(VLOOKUP(C28,SETUP!$A$9:$D$18,3,0),"⚠ Check SETUP"))</f>
        <v/>
      </c>
      <c r="X28" s="40">
        <f>IF(C28="","",IFERROR(VLOOKUP(C28,SETUP!$A$9:$D$18,4,0),"⚠ Check SETUP"))</f>
        <v/>
      </c>
      <c r="Y28" s="42">
        <f>IF(OR(I28="",M28=""),"",(M28-I28)/I28)</f>
        <v/>
      </c>
      <c r="Z28" s="42">
        <f>IF(OR(I28="",N28=""),"",(N28-I28)/I28)</f>
        <v/>
      </c>
      <c r="AA28" s="42">
        <f>IF(OR(I28="",O28=""),"",(O28-I28)/I28)</f>
        <v/>
      </c>
      <c r="AB28" s="42">
        <f>IF(OR(Q28="",S28&lt;&gt;"",P28="",I28=""),"",IF(P28="Investor Override",IF(L28="","",(L28-I28)/I28),IF(P28="Offer 1",IF(M28="","",(M28-I28)/I28),IF(P28="Offer 2",IF(N28="","",(N28-I28)/I28),IF(P28="Offer 3",IF(O28="","",(O28-I28)/I28),"")))))</f>
        <v/>
      </c>
    </row>
    <row r="29" ht="19.5" customHeight="1">
      <c r="A29" s="20" t="n"/>
      <c r="B29" s="18" t="n"/>
      <c r="C29" s="18" t="n"/>
      <c r="D29" s="37" t="n"/>
      <c r="E29" s="38">
        <f>IF(D29="","",D29-90)</f>
        <v/>
      </c>
      <c r="F29" s="38">
        <f>IF(D29="","",D29-60)</f>
        <v/>
      </c>
      <c r="G29" s="38">
        <f>IF(D29="","",D29-30)</f>
        <v/>
      </c>
      <c r="H29" s="39" t="n"/>
      <c r="I29" s="19" t="n"/>
      <c r="J29" s="40">
        <f>IF(I29="","",IF(ABS(N29-W29)&lt;=ABS(M29-W29),IF(ABS(N29-W29)&lt;=ABS(O29-W29),"Offer 2","Offer 3"),IF(ABS(M29-W29)&lt;=ABS(O29-W29),"Offer 1","Offer 3")))</f>
        <v/>
      </c>
      <c r="K29" s="78" t="n"/>
      <c r="L29" s="41">
        <f>IF(OR(I29="",K29=""),"",CEILING(I29*(1+K29),5))</f>
        <v/>
      </c>
      <c r="M29" s="41">
        <f>IF(I29="","",IF(X29="Under",CEILING(MAX(I29*1.02,MIN(V29,W29)*0.95),5),CEILING(MAX(I29*1.03,MIN(V29,W29)*0.97),5)))</f>
        <v/>
      </c>
      <c r="N29" s="41">
        <f>IF(I29="","",IF(X29="Under",CEILING(MAX(I29*1.03,(V29+W29)/2*0.96),5),CEILING(MAX(I29*1.05,(V29+W29)/2*0.98),5)))</f>
        <v/>
      </c>
      <c r="O29" s="41">
        <f>IF(I29="","",IF(X29="Under",CEILING(MAX(I29*1.05,MIN(V29,W29*1.01)),5),CEILING(MAX(I29*1.08,MIN(V29,W29*1.02)),5)))</f>
        <v/>
      </c>
      <c r="P29" s="18" t="n"/>
      <c r="Q29" s="18" t="n"/>
      <c r="R29" s="18" t="n"/>
      <c r="S29" s="18" t="n"/>
      <c r="T29" s="18" t="n"/>
      <c r="U29" s="18" t="n"/>
      <c r="V29" s="41">
        <f>IF(C29="","",IFERROR(VLOOKUP(C29,SETUP!$A$9:$D$18,2,0),"⚠ Check SETUP"))</f>
        <v/>
      </c>
      <c r="W29" s="41">
        <f>IF(C29="","",IFERROR(VLOOKUP(C29,SETUP!$A$9:$D$18,3,0),"⚠ Check SETUP"))</f>
        <v/>
      </c>
      <c r="X29" s="40">
        <f>IF(C29="","",IFERROR(VLOOKUP(C29,SETUP!$A$9:$D$18,4,0),"⚠ Check SETUP"))</f>
        <v/>
      </c>
      <c r="Y29" s="42">
        <f>IF(OR(I29="",M29=""),"",(M29-I29)/I29)</f>
        <v/>
      </c>
      <c r="Z29" s="42">
        <f>IF(OR(I29="",N29=""),"",(N29-I29)/I29)</f>
        <v/>
      </c>
      <c r="AA29" s="42">
        <f>IF(OR(I29="",O29=""),"",(O29-I29)/I29)</f>
        <v/>
      </c>
      <c r="AB29" s="42">
        <f>IF(OR(Q29="",S29&lt;&gt;"",P29="",I29=""),"",IF(P29="Investor Override",IF(L29="","",(L29-I29)/I29),IF(P29="Offer 1",IF(M29="","",(M29-I29)/I29),IF(P29="Offer 2",IF(N29="","",(N29-I29)/I29),IF(P29="Offer 3",IF(O29="","",(O29-I29)/I29),"")))))</f>
        <v/>
      </c>
    </row>
    <row r="30" ht="19.5" customHeight="1">
      <c r="A30" s="20" t="n"/>
      <c r="B30" s="18" t="n"/>
      <c r="C30" s="18" t="n"/>
      <c r="D30" s="37" t="n"/>
      <c r="E30" s="38">
        <f>IF(D30="","",D30-90)</f>
        <v/>
      </c>
      <c r="F30" s="38">
        <f>IF(D30="","",D30-60)</f>
        <v/>
      </c>
      <c r="G30" s="38">
        <f>IF(D30="","",D30-30)</f>
        <v/>
      </c>
      <c r="H30" s="39" t="n"/>
      <c r="I30" s="19" t="n"/>
      <c r="J30" s="40">
        <f>IF(I30="","",IF(ABS(N30-W30)&lt;=ABS(M30-W30),IF(ABS(N30-W30)&lt;=ABS(O30-W30),"Offer 2","Offer 3"),IF(ABS(M30-W30)&lt;=ABS(O30-W30),"Offer 1","Offer 3")))</f>
        <v/>
      </c>
      <c r="K30" s="78" t="n"/>
      <c r="L30" s="41">
        <f>IF(OR(I30="",K30=""),"",CEILING(I30*(1+K30),5))</f>
        <v/>
      </c>
      <c r="M30" s="41">
        <f>IF(I30="","",IF(X30="Under",CEILING(MAX(I30*1.02,MIN(V30,W30)*0.95),5),CEILING(MAX(I30*1.03,MIN(V30,W30)*0.97),5)))</f>
        <v/>
      </c>
      <c r="N30" s="41">
        <f>IF(I30="","",IF(X30="Under",CEILING(MAX(I30*1.03,(V30+W30)/2*0.96),5),CEILING(MAX(I30*1.05,(V30+W30)/2*0.98),5)))</f>
        <v/>
      </c>
      <c r="O30" s="41">
        <f>IF(I30="","",IF(X30="Under",CEILING(MAX(I30*1.05,MIN(V30,W30*1.01)),5),CEILING(MAX(I30*1.08,MIN(V30,W30*1.02)),5)))</f>
        <v/>
      </c>
      <c r="P30" s="18" t="n"/>
      <c r="Q30" s="18" t="n"/>
      <c r="R30" s="18" t="n"/>
      <c r="S30" s="18" t="n"/>
      <c r="T30" s="18" t="n"/>
      <c r="U30" s="18" t="n"/>
      <c r="V30" s="41">
        <f>IF(C30="","",IFERROR(VLOOKUP(C30,SETUP!$A$9:$D$18,2,0),"⚠ Check SETUP"))</f>
        <v/>
      </c>
      <c r="W30" s="41">
        <f>IF(C30="","",IFERROR(VLOOKUP(C30,SETUP!$A$9:$D$18,3,0),"⚠ Check SETUP"))</f>
        <v/>
      </c>
      <c r="X30" s="40">
        <f>IF(C30="","",IFERROR(VLOOKUP(C30,SETUP!$A$9:$D$18,4,0),"⚠ Check SETUP"))</f>
        <v/>
      </c>
      <c r="Y30" s="42">
        <f>IF(OR(I30="",M30=""),"",(M30-I30)/I30)</f>
        <v/>
      </c>
      <c r="Z30" s="42">
        <f>IF(OR(I30="",N30=""),"",(N30-I30)/I30)</f>
        <v/>
      </c>
      <c r="AA30" s="42">
        <f>IF(OR(I30="",O30=""),"",(O30-I30)/I30)</f>
        <v/>
      </c>
      <c r="AB30" s="42">
        <f>IF(OR(Q30="",S30&lt;&gt;"",P30="",I30=""),"",IF(P30="Investor Override",IF(L30="","",(L30-I30)/I30),IF(P30="Offer 1",IF(M30="","",(M30-I30)/I30),IF(P30="Offer 2",IF(N30="","",(N30-I30)/I30),IF(P30="Offer 3",IF(O30="","",(O30-I30)/I30),"")))))</f>
        <v/>
      </c>
    </row>
    <row r="31" ht="19.5" customHeight="1">
      <c r="A31" s="20" t="n"/>
      <c r="B31" s="18" t="n"/>
      <c r="C31" s="18" t="n"/>
      <c r="D31" s="37" t="n"/>
      <c r="E31" s="38">
        <f>IF(D31="","",D31-90)</f>
        <v/>
      </c>
      <c r="F31" s="38">
        <f>IF(D31="","",D31-60)</f>
        <v/>
      </c>
      <c r="G31" s="38">
        <f>IF(D31="","",D31-30)</f>
        <v/>
      </c>
      <c r="H31" s="39" t="n"/>
      <c r="I31" s="19" t="n"/>
      <c r="J31" s="40">
        <f>IF(I31="","",IF(ABS(N31-W31)&lt;=ABS(M31-W31),IF(ABS(N31-W31)&lt;=ABS(O31-W31),"Offer 2","Offer 3"),IF(ABS(M31-W31)&lt;=ABS(O31-W31),"Offer 1","Offer 3")))</f>
        <v/>
      </c>
      <c r="K31" s="78" t="n"/>
      <c r="L31" s="41">
        <f>IF(OR(I31="",K31=""),"",CEILING(I31*(1+K31),5))</f>
        <v/>
      </c>
      <c r="M31" s="41">
        <f>IF(I31="","",IF(X31="Under",CEILING(MAX(I31*1.02,MIN(V31,W31)*0.95),5),CEILING(MAX(I31*1.03,MIN(V31,W31)*0.97),5)))</f>
        <v/>
      </c>
      <c r="N31" s="41">
        <f>IF(I31="","",IF(X31="Under",CEILING(MAX(I31*1.03,(V31+W31)/2*0.96),5),CEILING(MAX(I31*1.05,(V31+W31)/2*0.98),5)))</f>
        <v/>
      </c>
      <c r="O31" s="41">
        <f>IF(I31="","",IF(X31="Under",CEILING(MAX(I31*1.05,MIN(V31,W31*1.01)),5),CEILING(MAX(I31*1.08,MIN(V31,W31*1.02)),5)))</f>
        <v/>
      </c>
      <c r="P31" s="18" t="n"/>
      <c r="Q31" s="18" t="n"/>
      <c r="R31" s="18" t="n"/>
      <c r="S31" s="18" t="n"/>
      <c r="T31" s="18" t="n"/>
      <c r="U31" s="18" t="n"/>
      <c r="V31" s="41">
        <f>IF(C31="","",IFERROR(VLOOKUP(C31,SETUP!$A$9:$D$18,2,0),"⚠ Check SETUP"))</f>
        <v/>
      </c>
      <c r="W31" s="41">
        <f>IF(C31="","",IFERROR(VLOOKUP(C31,SETUP!$A$9:$D$18,3,0),"⚠ Check SETUP"))</f>
        <v/>
      </c>
      <c r="X31" s="40">
        <f>IF(C31="","",IFERROR(VLOOKUP(C31,SETUP!$A$9:$D$18,4,0),"⚠ Check SETUP"))</f>
        <v/>
      </c>
      <c r="Y31" s="42">
        <f>IF(OR(I31="",M31=""),"",(M31-I31)/I31)</f>
        <v/>
      </c>
      <c r="Z31" s="42">
        <f>IF(OR(I31="",N31=""),"",(N31-I31)/I31)</f>
        <v/>
      </c>
      <c r="AA31" s="42">
        <f>IF(OR(I31="",O31=""),"",(O31-I31)/I31)</f>
        <v/>
      </c>
      <c r="AB31" s="42">
        <f>IF(OR(Q31="",S31&lt;&gt;"",P31="",I31=""),"",IF(P31="Investor Override",IF(L31="","",(L31-I31)/I31),IF(P31="Offer 1",IF(M31="","",(M31-I31)/I31),IF(P31="Offer 2",IF(N31="","",(N31-I31)/I31),IF(P31="Offer 3",IF(O31="","",(O31-I31)/I31),"")))))</f>
        <v/>
      </c>
    </row>
    <row r="32" ht="19.5" customHeight="1">
      <c r="A32" s="20" t="n"/>
      <c r="B32" s="18" t="n"/>
      <c r="C32" s="18" t="n"/>
      <c r="D32" s="37" t="n"/>
      <c r="E32" s="38">
        <f>IF(D32="","",D32-90)</f>
        <v/>
      </c>
      <c r="F32" s="38">
        <f>IF(D32="","",D32-60)</f>
        <v/>
      </c>
      <c r="G32" s="38">
        <f>IF(D32="","",D32-30)</f>
        <v/>
      </c>
      <c r="H32" s="39" t="n"/>
      <c r="I32" s="19" t="n"/>
      <c r="J32" s="40">
        <f>IF(I32="","",IF(ABS(N32-W32)&lt;=ABS(M32-W32),IF(ABS(N32-W32)&lt;=ABS(O32-W32),"Offer 2","Offer 3"),IF(ABS(M32-W32)&lt;=ABS(O32-W32),"Offer 1","Offer 3")))</f>
        <v/>
      </c>
      <c r="K32" s="78" t="n"/>
      <c r="L32" s="41">
        <f>IF(OR(I32="",K32=""),"",CEILING(I32*(1+K32),5))</f>
        <v/>
      </c>
      <c r="M32" s="41">
        <f>IF(I32="","",IF(X32="Under",CEILING(MAX(I32*1.02,MIN(V32,W32)*0.95),5),CEILING(MAX(I32*1.03,MIN(V32,W32)*0.97),5)))</f>
        <v/>
      </c>
      <c r="N32" s="41">
        <f>IF(I32="","",IF(X32="Under",CEILING(MAX(I32*1.03,(V32+W32)/2*0.96),5),CEILING(MAX(I32*1.05,(V32+W32)/2*0.98),5)))</f>
        <v/>
      </c>
      <c r="O32" s="41">
        <f>IF(I32="","",IF(X32="Under",CEILING(MAX(I32*1.05,MIN(V32,W32*1.01)),5),CEILING(MAX(I32*1.08,MIN(V32,W32*1.02)),5)))</f>
        <v/>
      </c>
      <c r="P32" s="18" t="n"/>
      <c r="Q32" s="18" t="n"/>
      <c r="R32" s="18" t="n"/>
      <c r="S32" s="18" t="n"/>
      <c r="T32" s="18" t="n"/>
      <c r="U32" s="18" t="n"/>
      <c r="V32" s="41">
        <f>IF(C32="","",IFERROR(VLOOKUP(C32,SETUP!$A$9:$D$18,2,0),"⚠ Check SETUP"))</f>
        <v/>
      </c>
      <c r="W32" s="41">
        <f>IF(C32="","",IFERROR(VLOOKUP(C32,SETUP!$A$9:$D$18,3,0),"⚠ Check SETUP"))</f>
        <v/>
      </c>
      <c r="X32" s="40">
        <f>IF(C32="","",IFERROR(VLOOKUP(C32,SETUP!$A$9:$D$18,4,0),"⚠ Check SETUP"))</f>
        <v/>
      </c>
      <c r="Y32" s="42">
        <f>IF(OR(I32="",M32=""),"",(M32-I32)/I32)</f>
        <v/>
      </c>
      <c r="Z32" s="42">
        <f>IF(OR(I32="",N32=""),"",(N32-I32)/I32)</f>
        <v/>
      </c>
      <c r="AA32" s="42">
        <f>IF(OR(I32="",O32=""),"",(O32-I32)/I32)</f>
        <v/>
      </c>
      <c r="AB32" s="42">
        <f>IF(OR(Q32="",S32&lt;&gt;"",P32="",I32=""),"",IF(P32="Investor Override",IF(L32="","",(L32-I32)/I32),IF(P32="Offer 1",IF(M32="","",(M32-I32)/I32),IF(P32="Offer 2",IF(N32="","",(N32-I32)/I32),IF(P32="Offer 3",IF(O32="","",(O32-I32)/I32),"")))))</f>
        <v/>
      </c>
    </row>
    <row r="33" ht="19.5" customHeight="1">
      <c r="A33" s="20" t="n"/>
      <c r="B33" s="18" t="n"/>
      <c r="C33" s="18" t="n"/>
      <c r="D33" s="37" t="n"/>
      <c r="E33" s="38">
        <f>IF(D33="","",D33-90)</f>
        <v/>
      </c>
      <c r="F33" s="38">
        <f>IF(D33="","",D33-60)</f>
        <v/>
      </c>
      <c r="G33" s="38">
        <f>IF(D33="","",D33-30)</f>
        <v/>
      </c>
      <c r="H33" s="39" t="n"/>
      <c r="I33" s="19" t="n"/>
      <c r="J33" s="40">
        <f>IF(I33="","",IF(ABS(N33-W33)&lt;=ABS(M33-W33),IF(ABS(N33-W33)&lt;=ABS(O33-W33),"Offer 2","Offer 3"),IF(ABS(M33-W33)&lt;=ABS(O33-W33),"Offer 1","Offer 3")))</f>
        <v/>
      </c>
      <c r="K33" s="78" t="n"/>
      <c r="L33" s="41">
        <f>IF(OR(I33="",K33=""),"",CEILING(I33*(1+K33),5))</f>
        <v/>
      </c>
      <c r="M33" s="41">
        <f>IF(I33="","",IF(X33="Under",CEILING(MAX(I33*1.02,MIN(V33,W33)*0.95),5),CEILING(MAX(I33*1.03,MIN(V33,W33)*0.97),5)))</f>
        <v/>
      </c>
      <c r="N33" s="41">
        <f>IF(I33="","",IF(X33="Under",CEILING(MAX(I33*1.03,(V33+W33)/2*0.96),5),CEILING(MAX(I33*1.05,(V33+W33)/2*0.98),5)))</f>
        <v/>
      </c>
      <c r="O33" s="41">
        <f>IF(I33="","",IF(X33="Under",CEILING(MAX(I33*1.05,MIN(V33,W33*1.01)),5),CEILING(MAX(I33*1.08,MIN(V33,W33*1.02)),5)))</f>
        <v/>
      </c>
      <c r="P33" s="18" t="n"/>
      <c r="Q33" s="18" t="n"/>
      <c r="R33" s="18" t="n"/>
      <c r="S33" s="18" t="n"/>
      <c r="T33" s="18" t="n"/>
      <c r="U33" s="18" t="n"/>
      <c r="V33" s="41">
        <f>IF(C33="","",IFERROR(VLOOKUP(C33,SETUP!$A$9:$D$18,2,0),"⚠ Check SETUP"))</f>
        <v/>
      </c>
      <c r="W33" s="41">
        <f>IF(C33="","",IFERROR(VLOOKUP(C33,SETUP!$A$9:$D$18,3,0),"⚠ Check SETUP"))</f>
        <v/>
      </c>
      <c r="X33" s="40">
        <f>IF(C33="","",IFERROR(VLOOKUP(C33,SETUP!$A$9:$D$18,4,0),"⚠ Check SETUP"))</f>
        <v/>
      </c>
      <c r="Y33" s="42">
        <f>IF(OR(I33="",M33=""),"",(M33-I33)/I33)</f>
        <v/>
      </c>
      <c r="Z33" s="42">
        <f>IF(OR(I33="",N33=""),"",(N33-I33)/I33)</f>
        <v/>
      </c>
      <c r="AA33" s="42">
        <f>IF(OR(I33="",O33=""),"",(O33-I33)/I33)</f>
        <v/>
      </c>
      <c r="AB33" s="42">
        <f>IF(OR(Q33="",S33&lt;&gt;"",P33="",I33=""),"",IF(P33="Investor Override",IF(L33="","",(L33-I33)/I33),IF(P33="Offer 1",IF(M33="","",(M33-I33)/I33),IF(P33="Offer 2",IF(N33="","",(N33-I33)/I33),IF(P33="Offer 3",IF(O33="","",(O33-I33)/I33),"")))))</f>
        <v/>
      </c>
    </row>
    <row r="34" ht="21.75" customHeight="1">
      <c r="X34" s="43" t="inlineStr">
        <is>
          <t>Portfolio Avg
(Excl. NTV) →</t>
        </is>
      </c>
      <c r="Y34" s="44">
        <f>IFERROR(AVERAGEIFS(Y4:Y33,S4:S33,""),"")</f>
        <v/>
      </c>
      <c r="Z34" s="44">
        <f>IFERROR(AVERAGEIFS(Z4:Z33,S4:S33,""),"")</f>
        <v/>
      </c>
      <c r="AA34" s="44">
        <f>IFERROR(AVERAGEIFS(AA4:AA33,S4:S33,""),"")</f>
        <v/>
      </c>
      <c r="AB34" s="44">
        <f>IFERROR(AVERAGEIF(AB4:AB33,"&lt;&gt;"),"")</f>
        <v/>
      </c>
    </row>
    <row r="36" ht="25.5" customHeight="1">
      <c r="A36" s="4" t="inlineStr">
        <is>
          <t>RETENTION ANALYSIS</t>
        </is>
      </c>
      <c r="H36" s="45" t="n"/>
    </row>
    <row r="37" ht="21.75" customHeight="1">
      <c r="A37" s="46" t="inlineStr">
        <is>
          <t>Metric</t>
        </is>
      </c>
      <c r="B37" s="46" t="inlineStr">
        <is>
          <t>Count</t>
        </is>
      </c>
      <c r="C37" s="46" t="inlineStr">
        <is>
          <t>% of Expirations</t>
        </is>
      </c>
      <c r="D37" s="46" t="inlineStr">
        <is>
          <t>% of Decided</t>
        </is>
      </c>
      <c r="E37" s="46" t="inlineStr">
        <is>
          <t>Status</t>
        </is>
      </c>
      <c r="F37" s="45" t="n"/>
      <c r="G37" s="45" t="n"/>
      <c r="H37" s="45" t="n"/>
    </row>
    <row r="38" ht="21.75" customHeight="1">
      <c r="A38" s="47" t="inlineStr">
        <is>
          <t>Total Lease Expirations</t>
        </is>
      </c>
      <c r="B38" s="48">
        <f>COUNTA(A4:A33)</f>
        <v/>
      </c>
      <c r="C38" s="49" t="n"/>
      <c r="D38" s="49" t="n"/>
      <c r="E38" s="49" t="n"/>
      <c r="F38" s="45" t="n"/>
      <c r="G38" s="45" t="n"/>
      <c r="H38" s="45" t="n"/>
    </row>
    <row r="39" ht="21.75" customHeight="1">
      <c r="A39" s="50" t="inlineStr">
        <is>
          <t xml:space="preserve">    Renewals Signed</t>
        </is>
      </c>
      <c r="B39" s="51">
        <f>COUNTA(Q4:Q33)</f>
        <v/>
      </c>
      <c r="C39" s="52">
        <f>IFERROR(B39/B38,"-")</f>
        <v/>
      </c>
      <c r="D39" s="52">
        <f>IFERROR(B39/(B39+B40),"-")</f>
        <v/>
      </c>
      <c r="E39" s="53">
        <f>IF(B38=0,"Awaiting data",IF(B39/B38&gt;=0.6,"On Track ✓","Needs Attention ⚠"))</f>
        <v/>
      </c>
      <c r="F39" s="45" t="n"/>
      <c r="G39" s="45" t="n"/>
      <c r="H39" s="45" t="n"/>
    </row>
    <row r="40" ht="21.75" customHeight="1">
      <c r="A40" s="54" t="inlineStr">
        <is>
          <t xml:space="preserve">    NTV's Received</t>
        </is>
      </c>
      <c r="B40" s="55">
        <f>COUNTA(S4:S33)</f>
        <v/>
      </c>
      <c r="C40" s="56">
        <f>IFERROR(B40/B38,"-")</f>
        <v/>
      </c>
      <c r="D40" s="56">
        <f>IFERROR(B40/(B39+B40),"-")</f>
        <v/>
      </c>
      <c r="E40" s="57">
        <f>IF(B38=0,"Awaiting data",IF(B40/B38&lt;=0.2,"Acceptable","High NTV ⚠"))</f>
        <v/>
      </c>
      <c r="F40" s="45" t="n"/>
      <c r="G40" s="45" t="n"/>
      <c r="H40" s="45" t="n"/>
    </row>
    <row r="41" ht="21.75" customHeight="1">
      <c r="A41" s="58" t="inlineStr">
        <is>
          <t xml:space="preserve">    Transfers</t>
        </is>
      </c>
      <c r="B41" s="59">
        <f>COUNTA(R4:R33)</f>
        <v/>
      </c>
      <c r="C41" s="60">
        <f>IFERROR(B41/B38,"-")</f>
        <v/>
      </c>
      <c r="D41" s="61" t="inlineStr">
        <is>
          <t>—</t>
        </is>
      </c>
      <c r="E41" s="62" t="inlineStr">
        <is>
          <t>Resident retained in portfolio</t>
        </is>
      </c>
      <c r="F41" s="45" t="n"/>
      <c r="G41" s="45" t="n"/>
      <c r="H41" s="45" t="n"/>
    </row>
    <row r="42" ht="21.75" customHeight="1">
      <c r="A42" s="63" t="inlineStr">
        <is>
          <t xml:space="preserve">    Pending / Not Yet Decided</t>
        </is>
      </c>
      <c r="B42" s="64">
        <f>MAX(0,B38-B39-B40-B41)</f>
        <v/>
      </c>
      <c r="C42" s="65">
        <f>IFERROR(B42/B38,"-")</f>
        <v/>
      </c>
      <c r="D42" s="66" t="inlineStr">
        <is>
          <t>—</t>
        </is>
      </c>
      <c r="E42" s="67">
        <f>IF(B42=0,"All accounted for ✓","Follow up needed")</f>
        <v/>
      </c>
      <c r="F42" s="45" t="n"/>
      <c r="G42" s="45" t="n"/>
      <c r="H42" s="45" t="n"/>
    </row>
    <row r="43" ht="7.5" customHeight="1">
      <c r="A43" s="45" t="n"/>
      <c r="B43" s="45" t="n"/>
      <c r="C43" s="45" t="n"/>
      <c r="D43" s="45" t="n"/>
      <c r="E43" s="45" t="n"/>
      <c r="F43" s="45" t="n"/>
      <c r="G43" s="45" t="n"/>
      <c r="H43" s="45" t="n"/>
    </row>
    <row r="44" ht="37.5" customHeight="1">
      <c r="A44" s="3" t="inlineStr">
        <is>
          <t>RETENTION RATE  (Renewals ÷ Total Expirations)</t>
        </is>
      </c>
      <c r="B44" s="80" t="n"/>
      <c r="C44" s="68">
        <f>IFERROR(B39/B38,"-")</f>
        <v/>
      </c>
      <c r="D44" s="2">
        <f>IF(B38=0,"Enter resident data to calculate",IF(B39/B38&gt;=0.6,"✓ Meeting target retention","⚠ Below target — review offers"))</f>
        <v/>
      </c>
      <c r="E44" s="79" t="n"/>
      <c r="F44" s="79" t="n"/>
      <c r="G44" s="79" t="n"/>
      <c r="H44" s="45" t="n"/>
    </row>
    <row r="45" ht="25.5" customHeight="1">
      <c r="A45" s="1" t="inlineStr">
        <is>
          <t>RETENTION RATE  (Renewals ÷ Renewals + NTVs)  ← of decided residents</t>
        </is>
      </c>
      <c r="B45" s="79" t="n"/>
      <c r="C45" s="69">
        <f>IFERROR(B39/(B39+B40),"-")</f>
        <v/>
      </c>
      <c r="D45" s="76" t="inlineStr">
        <is>
          <t>Excludes pending residents — only counts those who have made a decision (renewed or NTV'd)</t>
        </is>
      </c>
      <c r="E45" s="79" t="n"/>
      <c r="F45" s="79" t="n"/>
      <c r="G45" s="79" t="n"/>
      <c r="H45" s="45" t="n"/>
    </row>
    <row r="46" ht="18" customHeight="1">
      <c r="A46" s="45" t="n"/>
      <c r="B46" s="45" t="n"/>
      <c r="C46" s="45" t="n"/>
      <c r="D46" s="45" t="n"/>
      <c r="E46" s="45" t="n"/>
      <c r="F46" s="45" t="n"/>
      <c r="G46" s="45" t="n"/>
      <c r="H46" s="45" t="n"/>
    </row>
    <row r="47" ht="7.5" customHeight="1">
      <c r="A47" s="45" t="n"/>
      <c r="B47" s="45" t="n"/>
      <c r="C47" s="45" t="n"/>
      <c r="D47" s="45" t="n"/>
      <c r="E47" s="45" t="n"/>
      <c r="F47" s="45" t="n"/>
      <c r="G47" s="45" t="n"/>
      <c r="H47" s="45" t="n"/>
    </row>
    <row r="48" ht="21.75" customHeight="1">
      <c r="A48" s="70" t="inlineStr">
        <is>
          <t>Legend</t>
        </is>
      </c>
      <c r="B48" s="45" t="n"/>
      <c r="C48" s="45" t="n"/>
      <c r="D48" s="45" t="n"/>
      <c r="E48" s="45" t="n"/>
      <c r="F48" s="45" t="n"/>
      <c r="G48" s="45" t="n"/>
      <c r="H48" s="45" t="n"/>
    </row>
    <row r="49" ht="18" customHeight="1">
      <c r="A49" s="71" t="inlineStr">
        <is>
          <t>Renewed  (auto: enter date in Renewal Signed)</t>
        </is>
      </c>
      <c r="B49" s="45" t="n"/>
      <c r="C49" s="45" t="n"/>
      <c r="D49" s="45" t="n"/>
      <c r="E49" s="45" t="n"/>
      <c r="F49" s="45" t="n"/>
      <c r="G49" s="45" t="n"/>
      <c r="H49" s="45" t="n"/>
    </row>
    <row r="50" ht="18" customHeight="1">
      <c r="A50" s="72" t="inlineStr">
        <is>
          <t>Pending Signature  (manual: apply yellow fill)</t>
        </is>
      </c>
      <c r="B50" s="45" t="n"/>
      <c r="C50" s="45" t="n"/>
      <c r="D50" s="45" t="n"/>
      <c r="E50" s="45" t="n"/>
      <c r="F50" s="45" t="n"/>
      <c r="G50" s="45" t="n"/>
      <c r="H50" s="45" t="n"/>
    </row>
    <row r="51" ht="18" customHeight="1">
      <c r="A51" s="73" t="inlineStr">
        <is>
          <t>NTV / Notice to Vacate  (auto: enter date in NTV Rcv'd)</t>
        </is>
      </c>
      <c r="B51" s="45" t="n"/>
      <c r="C51" s="45" t="n"/>
      <c r="D51" s="45" t="n"/>
      <c r="E51" s="45" t="n"/>
      <c r="F51" s="45" t="n"/>
      <c r="G51" s="45" t="n"/>
      <c r="H51" s="45" t="n"/>
    </row>
    <row r="52" ht="18" customHeight="1">
      <c r="A52" s="74" t="inlineStr">
        <is>
          <t>Transfer  (auto: enter date in Transfer)</t>
        </is>
      </c>
      <c r="B52" s="45" t="n"/>
      <c r="C52" s="45" t="n"/>
      <c r="D52" s="45" t="n"/>
      <c r="E52" s="45" t="n"/>
      <c r="F52" s="45" t="n"/>
      <c r="G52" s="45" t="n"/>
      <c r="H52" s="45" t="n"/>
    </row>
    <row r="53" ht="18" customHeight="1">
      <c r="A53" s="75" t="inlineStr">
        <is>
          <t>MTM / Month-to-Month  (manual: apply gray fill)</t>
        </is>
      </c>
      <c r="B53" s="45" t="n"/>
      <c r="C53" s="45" t="n"/>
      <c r="D53" s="45" t="n"/>
      <c r="E53" s="45" t="n"/>
      <c r="F53" s="45" t="n"/>
      <c r="G53" s="45" t="n"/>
      <c r="H53" s="45" t="n"/>
    </row>
    <row r="54" ht="15" customHeight="1">
      <c r="A54" s="45" t="n"/>
      <c r="B54" s="45" t="n"/>
      <c r="C54" s="45" t="n"/>
      <c r="D54" s="45" t="n"/>
      <c r="E54" s="45" t="n"/>
      <c r="F54" s="45" t="n"/>
      <c r="G54" s="45" t="n"/>
      <c r="H54" s="45" t="n"/>
    </row>
    <row r="55" ht="15" customHeight="1">
      <c r="A55" s="45" t="n"/>
      <c r="B55" s="45" t="n"/>
      <c r="C55" s="45" t="n"/>
      <c r="D55" s="45" t="n"/>
      <c r="E55" s="45" t="n"/>
      <c r="F55" s="45" t="n"/>
      <c r="G55" s="45" t="n"/>
      <c r="H55" s="45" t="n"/>
    </row>
    <row r="56" ht="15" customHeight="1">
      <c r="A56" s="45" t="n"/>
      <c r="B56" s="45" t="n"/>
      <c r="C56" s="45" t="n"/>
      <c r="D56" s="45" t="n"/>
      <c r="E56" s="45" t="n"/>
      <c r="F56" s="45" t="n"/>
      <c r="G56" s="45" t="n"/>
      <c r="H56" s="45" t="n"/>
    </row>
    <row r="57" ht="15" customHeight="1">
      <c r="A57" s="45" t="n"/>
      <c r="B57" s="45" t="n"/>
      <c r="C57" s="45" t="n"/>
      <c r="D57" s="45" t="n"/>
      <c r="E57" s="45" t="n"/>
      <c r="F57" s="45" t="n"/>
      <c r="G57" s="45" t="n"/>
      <c r="H57" s="45" t="n"/>
    </row>
    <row r="58" ht="15" customHeight="1">
      <c r="A58" s="45" t="n"/>
      <c r="B58" s="45" t="n"/>
      <c r="C58" s="45" t="n"/>
      <c r="D58" s="45" t="n"/>
      <c r="E58" s="45" t="n"/>
      <c r="F58" s="45" t="n"/>
      <c r="G58" s="45" t="n"/>
      <c r="H58" s="45" t="n"/>
    </row>
    <row r="59" ht="15" customHeight="1">
      <c r="A59" s="45" t="n"/>
      <c r="B59" s="45" t="n"/>
      <c r="C59" s="45" t="n"/>
      <c r="D59" s="45" t="n"/>
      <c r="E59" s="45" t="n"/>
      <c r="F59" s="45" t="n"/>
      <c r="G59" s="45" t="n"/>
      <c r="H59" s="45" t="n"/>
    </row>
    <row r="60" ht="15" customHeight="1">
      <c r="A60" s="45" t="n"/>
      <c r="B60" s="45" t="n"/>
      <c r="C60" s="45" t="n"/>
      <c r="D60" s="45" t="n"/>
      <c r="E60" s="45" t="n"/>
      <c r="F60" s="45" t="n"/>
      <c r="G60" s="45" t="n"/>
      <c r="H60" s="45" t="n"/>
    </row>
  </sheetData>
  <mergeCells count="6">
    <mergeCell ref="A36:G36"/>
    <mergeCell ref="D45:G45"/>
    <mergeCell ref="D44:G44"/>
    <mergeCell ref="A45:B45"/>
    <mergeCell ref="A1:AB1"/>
    <mergeCell ref="A44:B44"/>
  </mergeCells>
  <conditionalFormatting sqref="A4:U33">
    <cfRule type="expression" priority="2" dxfId="2">
      <formula>$S4&lt;&gt;""</formula>
    </cfRule>
    <cfRule type="expression" priority="3" dxfId="1">
      <formula>$R4&lt;&gt;""</formula>
    </cfRule>
    <cfRule type="expression" priority="4" dxfId="0">
      <formula>$Q4&lt;&gt;""</formula>
    </cfRule>
  </conditionalFormatting>
  <dataValidations count="1">
    <dataValidation sqref="P4:P33" showDropDown="0" showInputMessage="1" showErrorMessage="1" allowBlank="1" type="list">
      <formula1>"Investor Override,Offer 1,Offer 2,Offer 3"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2026-03-11T17:52:19Z</dcterms:created>
  <dcterms:modified xsi:type="dcterms:W3CDTF">2026-03-13T15:43:15Z</dcterms:modified>
  <cp:lastModifiedBy>Jacquelyn Heflin</cp:lastModifiedBy>
  <cp:revision>0</cp:revision>
</cp:coreProperties>
</file>