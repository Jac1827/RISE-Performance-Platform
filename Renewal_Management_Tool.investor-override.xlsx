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heflin/Desktop/Revenue Management/"/>
    </mc:Choice>
  </mc:AlternateContent>
  <xr:revisionPtr revIDLastSave="0" documentId="8_{970A7EDA-0A33-6548-809F-E99B919A9F7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TUP" sheetId="1" r:id="rId1"/>
    <sheet name="Mar 2026" sheetId="2" r:id="rId2"/>
    <sheet name="TEMPLATE" sheetId="3" r:id="rId3"/>
  </sheets>
  <calcPr calcId="191029" iterate="1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<sst xmlns="http://schemas.openxmlformats.org/spreadsheetml/2006/main" count="230" uniqueCount="119">
  <si>
    <t>RENEWAL MANAGEMENT TOOL  —  PROPERTY SETUP</t>
  </si>
  <si>
    <t>PROPERTY CONFIGURATION</t>
  </si>
  <si>
    <t>Property Name:</t>
  </si>
  <si>
    <t>RISE Citrus Ridge</t>
  </si>
  <si>
    <t>← Enter your property name here (blue = input cell)</t>
  </si>
  <si>
    <t>Month / Year:</t>
  </si>
  <si>
    <t>March 2026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</si>
  <si>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</si>
  <si>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</si>
  <si>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</si>
  <si>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</si>
  <si>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</si>
  <si>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</si>
  <si>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</si>
  <si>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</si>
  <si>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</si>
  <si>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</si>
  <si>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</si>
  <si>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</si>
  <si>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</si>
  <si>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</si>
  <si>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</si>
  <si>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</si>
  <si>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</si>
  <si>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</si>
  <si>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</si>
  <si>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</si>
  <si>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</si>
  <si>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</si>
  <si>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</si>
  <si>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</si>
  <si>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</si>
  <si>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</si>
  <si>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</si>
  <si>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</si>
  <si>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</si>
  <si>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</si>
  <si>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</si>
  <si>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</si>
  <si>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</si>
  <si>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</si>
  <si>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</si>
  <si>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</si>
  <si>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</si>
  <si>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</si>
  <si>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</si>
  <si>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</si>
  <si>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</si>
  <si>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</si>
  <si>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</si>
  <si>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</si>
  <si>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</si>
  <si>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</si>
  <si>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</si>
  <si>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</si>
  <si>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</si>
  <si>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</si>
  <si>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</si>
  <si>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</si>
  <si>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</si>
  <si>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</si>
  <si>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</si>
  <si>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</si>
  <si>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</si>
  <si>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</si>
  <si>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</si>
  <si>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</si>
  <si>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</si>
  <si>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Adolfo Trevino III</t>
  </si>
  <si>
    <t>3-2055</t>
  </si>
  <si>
    <t>Shania Folkes</t>
  </si>
  <si>
    <t>13-2197</t>
  </si>
  <si>
    <t>Monique Mayhue</t>
  </si>
  <si>
    <t>11-2153</t>
  </si>
  <si>
    <t>Samaria Burrell</t>
  </si>
  <si>
    <t>11-2157</t>
  </si>
  <si>
    <t>Maddie Boquet</t>
  </si>
  <si>
    <t>12-2191</t>
  </si>
  <si>
    <t>Juan Rodriguez</t>
  </si>
  <si>
    <t>7-2134</t>
  </si>
  <si>
    <t>Elizabeth Cook</t>
  </si>
  <si>
    <t>8-2156</t>
  </si>
  <si>
    <t>Giovanna Augusto</t>
  </si>
  <si>
    <t>2-2032</t>
  </si>
  <si>
    <t>Olvin Ponce</t>
  </si>
  <si>
    <t>17-2327</t>
  </si>
  <si>
    <t>Orianna Raaz</t>
  </si>
  <si>
    <t>3-2063</t>
  </si>
  <si>
    <t>Shermaine Scott</t>
  </si>
  <si>
    <t>18-2361</t>
  </si>
  <si>
    <t>Deoveyon James</t>
  </si>
  <si>
    <t>8-2160</t>
  </si>
  <si>
    <t>Serrita Conyers</t>
  </si>
  <si>
    <t>10-2228</t>
  </si>
  <si>
    <t>Elienid Coke</t>
  </si>
  <si>
    <t>18-2357</t>
  </si>
  <si>
    <t>Portfolio Avg →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</si>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</sst>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x14ac="http://schemas.microsoft.com/office/spreadsheetml/2009/9/ac" xmlns:x15="http://schemas.microsoft.com/office/spreadsheetml/2010/11/mai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0" fillId="21" borderId="3" xfId="0" applyFont="1" applyFill="1" applyBorder="1" applyAlignment="1">
      <alignment horizontal="right" vertical="center"/>
    </xf>
    <xf numFmtId="0" fontId="29" fillId="2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right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3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9" fillId="15" borderId="2" xfId="0" applyFont="1" applyFill="1" applyBorder="1"/>
    <xf numFmtId="0" fontId="21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21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4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5" fillId="18" borderId="2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7" fillId="19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168" fontId="28" fillId="2" borderId="6" xfId="0" applyNumberFormat="1" applyFont="1" applyFill="1" applyBorder="1" applyAlignment="1">
      <alignment horizontal="center" vertical="center"/>
    </xf>
    <xf numFmtId="168" fontId="31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6" fillId="8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23" fillId="21" borderId="3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  <xf numFmtId="167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">
      <c r="A1" s="14" t="s">
        <v>0</v>
      </c>
      <c r="B1" s="14"/>
      <c r="C1" s="14"/>
      <c r="D1" s="14"/>
      <c r="E1" s="14"/>
    </row>
    <row r="2" spans="1:5" ht="21.75" customHeight="1" x14ac:dyDescent="0.2">
      <c r="A2" s="13" t="s">
        <v>1</v>
      </c>
      <c r="B2" s="13"/>
      <c r="C2" s="13"/>
      <c r="D2" s="13"/>
      <c r="E2" s="13"/>
    </row>
    <row r="3" spans="1:5" ht="21.75" customHeight="1" x14ac:dyDescent="0.2">
      <c r="A3" s="15" t="s">
        <v>2</v>
      </c>
      <c r="B3" s="16" t="s">
        <v>3</v>
      </c>
      <c r="C3" s="12" t="s">
        <v>4</v>
      </c>
      <c r="D3" s="12"/>
      <c r="E3" s="12"/>
    </row>
    <row r="4" spans="1:5" ht="21.75" customHeight="1" x14ac:dyDescent="0.2">
      <c r="A4" s="15" t="s">
        <v>5</v>
      </c>
      <c r="B4" s="16" t="s">
        <v>6</v>
      </c>
      <c r="C4" s="12" t="s">
        <v>7</v>
      </c>
      <c r="D4" s="12"/>
      <c r="E4" s="12"/>
    </row>
    <row r="5" spans="1:5" ht="7.5" customHeight="1" x14ac:dyDescent="0.2"/>
    <row r="6" spans="1:5" ht="21.75" customHeight="1" x14ac:dyDescent="0.2">
      <c r="A6" s="13" t="s">
        <v>8</v>
      </c>
      <c r="B6" s="13"/>
      <c r="C6" s="13"/>
      <c r="D6" s="13"/>
      <c r="E6" s="13"/>
    </row>
    <row r="7" spans="1:5" ht="31.5" customHeight="1" x14ac:dyDescent="0.2">
      <c r="A7" s="11" t="s">
        <v>9</v>
      </c>
      <c r="B7" s="11"/>
      <c r="C7" s="11"/>
      <c r="D7" s="11"/>
      <c r="E7" s="11"/>
    </row>
    <row r="8" spans="1:5" ht="24" customHeight="1" x14ac:dyDescent="0.2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</row>
    <row r="9" spans="1:5" ht="21.75" customHeight="1" x14ac:dyDescent="0.2">
      <c r="A9" s="18" t="s">
        <v>15</v>
      </c>
      <c r="B9" s="19">
        <v>2150</v>
      </c>
      <c r="C9" s="19">
        <v>2181</v>
      </c>
      <c r="D9" s="18" t="s">
        <v>16</v>
      </c>
      <c r="E9" s="20" t="s">
        <v>17</v>
      </c>
    </row>
    <row r="10" spans="1:5" ht="21.75" customHeight="1" x14ac:dyDescent="0.2">
      <c r="A10" s="21" t="s">
        <v>18</v>
      </c>
      <c r="B10" s="22">
        <v>2295</v>
      </c>
      <c r="C10" s="22">
        <v>2626</v>
      </c>
      <c r="D10" s="21" t="s">
        <v>16</v>
      </c>
      <c r="E10" s="23" t="s">
        <v>19</v>
      </c>
    </row>
    <row r="11" spans="1:5" ht="21.75" customHeight="1" x14ac:dyDescent="0.2">
      <c r="A11" s="24"/>
      <c r="B11" s="24"/>
      <c r="C11" s="24"/>
      <c r="D11" s="24"/>
      <c r="E11" s="25"/>
    </row>
    <row r="12" spans="1:5" ht="21.75" customHeight="1" x14ac:dyDescent="0.2">
      <c r="A12" s="26"/>
      <c r="B12" s="26"/>
      <c r="C12" s="26"/>
      <c r="D12" s="26"/>
      <c r="E12" s="27"/>
    </row>
    <row r="13" spans="1:5" ht="21.75" customHeight="1" x14ac:dyDescent="0.2">
      <c r="A13" s="24"/>
      <c r="B13" s="24"/>
      <c r="C13" s="24"/>
      <c r="D13" s="24"/>
      <c r="E13" s="25"/>
    </row>
    <row r="14" spans="1:5" ht="21.75" customHeight="1" x14ac:dyDescent="0.2">
      <c r="A14" s="26"/>
      <c r="B14" s="26"/>
      <c r="C14" s="26"/>
      <c r="D14" s="26"/>
      <c r="E14" s="27"/>
    </row>
    <row r="15" spans="1:5" ht="21.75" customHeight="1" x14ac:dyDescent="0.2">
      <c r="A15" s="24"/>
      <c r="B15" s="24"/>
      <c r="C15" s="24"/>
      <c r="D15" s="24"/>
      <c r="E15" s="25"/>
    </row>
    <row r="16" spans="1:5" ht="21.75" customHeight="1" x14ac:dyDescent="0.2">
      <c r="A16" s="26"/>
      <c r="B16" s="26"/>
      <c r="C16" s="26"/>
      <c r="D16" s="26"/>
      <c r="E16" s="27"/>
    </row>
    <row r="17" spans="1:5" ht="21.75" customHeight="1" x14ac:dyDescent="0.2">
      <c r="A17" s="24"/>
      <c r="B17" s="24"/>
      <c r="C17" s="24"/>
      <c r="D17" s="24"/>
      <c r="E17" s="25"/>
    </row>
    <row r="18" spans="1:5" ht="21.75" customHeight="1" x14ac:dyDescent="0.2">
      <c r="A18" s="26"/>
      <c r="B18" s="26"/>
      <c r="C18" s="26"/>
      <c r="D18" s="26"/>
      <c r="E18" s="27"/>
    </row>
    <row r="19" spans="1:5" ht="24.75" customHeight="1" x14ac:dyDescent="0.2">
      <c r="A19" s="10" t="s">
        <v>20</v>
      </c>
      <c r="B19" s="10"/>
      <c r="C19" s="10"/>
      <c r="D19" s="10"/>
      <c r="E19" s="10"/>
    </row>
    <row r="20" spans="1:5" ht="7.5" customHeight="1" x14ac:dyDescent="0.2"/>
    <row r="21" spans="1:5" ht="21.75" customHeight="1" x14ac:dyDescent="0.2">
      <c r="A21" s="9" t="s">
        <v>21</v>
      </c>
      <c r="B21" s="9"/>
      <c r="C21" s="9"/>
      <c r="D21" s="9"/>
      <c r="E21" s="9"/>
    </row>
    <row r="22" spans="1:5" ht="42" customHeight="1" x14ac:dyDescent="0.2">
      <c r="A22" s="28" t="s">
        <v>22</v>
      </c>
      <c r="B22" s="8" t="s">
        <v>23</v>
      </c>
      <c r="C22" s="8"/>
      <c r="D22" s="8"/>
      <c r="E22" s="8"/>
    </row>
    <row r="23" spans="1:5" ht="42" customHeight="1" x14ac:dyDescent="0.2">
      <c r="A23" s="28" t="s">
        <v>24</v>
      </c>
      <c r="B23" s="8" t="s">
        <v>25</v>
      </c>
      <c r="C23" s="8"/>
      <c r="D23" s="8"/>
      <c r="E23" s="8"/>
    </row>
    <row r="24" spans="1:5" ht="42" customHeight="1" x14ac:dyDescent="0.2">
      <c r="A24" s="28" t="s">
        <v>26</v>
      </c>
      <c r="B24" s="8" t="s">
        <v>27</v>
      </c>
      <c r="C24" s="8"/>
      <c r="D24" s="8"/>
      <c r="E24" s="8"/>
    </row>
    <row r="25" spans="1:5" ht="42" customHeight="1" x14ac:dyDescent="0.2">
      <c r="A25" s="28" t="s">
        <v>28</v>
      </c>
      <c r="B25" s="8" t="s">
        <v>29</v>
      </c>
      <c r="C25" s="8"/>
      <c r="D25" s="8"/>
      <c r="E25" s="8"/>
    </row>
    <row r="26" spans="1:5" ht="42" customHeight="1" x14ac:dyDescent="0.2">
      <c r="A26" s="28" t="s">
        <v>30</v>
      </c>
      <c r="B26" s="8" t="s">
        <v>31</v>
      </c>
      <c r="C26" s="8"/>
      <c r="D26" s="8"/>
      <c r="E26" s="8"/>
    </row>
    <row r="28" spans="1:5" ht="21.75" customHeight="1" x14ac:dyDescent="0.2">
      <c r="A28" s="7" t="s">
        <v>32</v>
      </c>
      <c r="B28" s="7"/>
      <c r="C28" s="7"/>
      <c r="D28" s="7"/>
      <c r="E28" s="7"/>
    </row>
    <row r="29" spans="1:5" ht="19.5" customHeight="1" x14ac:dyDescent="0.2">
      <c r="A29" s="29" t="s">
        <v>33</v>
      </c>
      <c r="B29" s="6" t="s">
        <v>34</v>
      </c>
      <c r="C29" s="6"/>
      <c r="D29" s="6"/>
      <c r="E29" s="6"/>
    </row>
    <row r="30" spans="1:5" ht="19.5" customHeight="1" x14ac:dyDescent="0.2">
      <c r="A30" s="30" t="s">
        <v>35</v>
      </c>
      <c r="B30" s="6" t="s">
        <v>36</v>
      </c>
      <c r="C30" s="6"/>
      <c r="D30" s="6"/>
      <c r="E30" s="6"/>
    </row>
    <row r="31" spans="1:5" ht="19.5" customHeight="1" x14ac:dyDescent="0.2">
      <c r="A31" s="31" t="s">
        <v>37</v>
      </c>
      <c r="B31" s="6" t="s">
        <v>38</v>
      </c>
      <c r="C31" s="6"/>
      <c r="D31" s="6"/>
      <c r="E31" s="6"/>
    </row>
    <row r="32" spans="1:5" ht="19.5" customHeight="1" x14ac:dyDescent="0.2">
      <c r="A32" s="32" t="s">
        <v>39</v>
      </c>
      <c r="B32" s="6" t="s">
        <v>40</v>
      </c>
      <c r="C32" s="6"/>
      <c r="D32" s="6"/>
      <c r="E32" s="6"/>
    </row>
    <row r="33" spans="1:5" ht="19.5" customHeight="1" x14ac:dyDescent="0.2">
      <c r="A33" s="33" t="s">
        <v>41</v>
      </c>
      <c r="B33" s="6" t="s">
        <v>42</v>
      </c>
      <c r="C33" s="6"/>
      <c r="D33" s="6"/>
      <c r="E33" s="6"/>
    </row>
  </sheetData>
  <mergeCells count="19">
    <mergeCell ref="B30:E30"/>
    <mergeCell ref="B31:E31"/>
    <mergeCell ref="B32:E32"/>
    <mergeCell ref="B33:E33"/>
    <mergeCell ref="B24:E24"/>
    <mergeCell ref="B25:E25"/>
    <mergeCell ref="B26:E26"/>
    <mergeCell ref="A28:E28"/>
    <mergeCell ref="B29:E29"/>
    <mergeCell ref="A7:E7"/>
    <mergeCell ref="A19:E19"/>
    <mergeCell ref="A21:E21"/>
    <mergeCell ref="B22:E22"/>
    <mergeCell ref="B23:E23"/>
    <mergeCell ref="A1:E1"/>
    <mergeCell ref="A2:E2"/>
    <mergeCell ref="C3:E3"/>
    <mergeCell ref="C4:E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dimension ref="A1:Z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9.83203125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4" customWidth="1" min="16" max="16"/>
    <col width="12" customWidth="1" min="17" max="17"/>
    <col width="12" customWidth="1" min="18" max="18"/>
    <col width="13" customWidth="1" min="19" max="19"/>
    <col width="22" customWidth="1" min="20" max="20"/>
    <col width="14" customWidth="1" min="21" max="21"/>
    <col width="12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spans="1:26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6" ht="49.5" customHeight="1" x14ac:dyDescent="0.2">
      <c r="A2" s="34" t="s">
        <v>43</v>
      </c>
      <c r="B2" s="34" t="s">
        <v>44</v>
      </c>
      <c r="C2" s="34" t="s">
        <v>45</v>
      </c>
      <c r="D2" s="34" t="s">
        <v>46</v>
      </c>
      <c r="E2" s="34" t="s">
        <v>47</v>
      </c>
      <c r="F2" s="34" t="s">
        <v>48</v>
      </c>
      <c r="G2" s="34" t="s">
        <v>49</v>
      </c>
      <c r="H2" s="34" t="s">
        <v>50</v>
      </c>
      <c r="I2" s="34" t="s">
        <v>51</v>
      </c>
      <c r="J2" s="34" t="s">
        <v>52</v>
      </c>
      <c r="K2" s="34" t="inlineStr">
        <is>
          <t>Investor
Override %</t>
        </is>
      </c>
      <c r="L2" s="34" t="inlineStr">
        <is>
          <t>Investor Override
Offer</t>
        </is>
      </c>
      <c r="M2" s="34" t="s">
        <v>53</v>
      </c>
      <c r="N2" s="34" t="s">
        <v>54</v>
      </c>
      <c r="O2" s="34" t="s">
        <v>55</v>
      </c>
      <c r="P2" s="34" t="s">
        <v>56</v>
      </c>
      <c r="Q2" s="34" t="s">
        <v>37</v>
      </c>
      <c r="R2" s="34" t="s">
        <v>57</v>
      </c>
      <c r="S2" s="34" t="s">
        <v>58</v>
      </c>
      <c r="T2" s="34" t="s">
        <v>59</v>
      </c>
      <c r="U2" s="34" t="s">
        <v>60</v>
      </c>
      <c r="V2" s="34" t="s">
        <v>61</v>
      </c>
      <c r="W2" s="34" t="s">
        <v>62</v>
      </c>
      <c r="X2" s="34" t="s">
        <v>63</v>
      </c>
      <c r="Y2" s="34" t="s">
        <v>64</v>
      </c>
      <c r="Z2" s="34" t="s">
        <v>65</v>
      </c>
    </row>
    <row r="3" spans="1:26" ht="12.75" customHeight="1" x14ac:dyDescent="0.2">
      <c r="A3" s="35" t="s">
        <v>66</v>
      </c>
      <c r="B3" s="35" t="s">
        <v>66</v>
      </c>
      <c r="C3" s="35" t="s">
        <v>66</v>
      </c>
      <c r="D3" s="35" t="s">
        <v>66</v>
      </c>
      <c r="E3" s="36" t="s">
        <v>67</v>
      </c>
      <c r="F3" s="36" t="s">
        <v>67</v>
      </c>
      <c r="G3" s="36" t="s">
        <v>67</v>
      </c>
      <c r="H3" s="35" t="s">
        <v>66</v>
      </c>
      <c r="I3" s="35" t="s">
        <v>66</v>
      </c>
      <c r="J3" s="36" t="s">
        <v>67</v>
      </c>
      <c r="K3" s="35" t="inlineStr">
        <is>
          <t>▼ Enter</t>
        </is>
      </c>
      <c r="L3" s="36" t="inlineStr">
        <is>
          <t>◀ Auto</t>
        </is>
      </c>
      <c r="M3" s="36" t="s">
        <v>67</v>
      </c>
      <c r="N3" s="36" t="s">
        <v>67</v>
      </c>
      <c r="O3" s="36" t="s">
        <v>67</v>
      </c>
      <c r="P3" s="35" t="s">
        <v>66</v>
      </c>
      <c r="Q3" s="35" t="s">
        <v>66</v>
      </c>
      <c r="R3" s="35" t="s">
        <v>66</v>
      </c>
      <c r="S3" s="35" t="s">
        <v>66</v>
      </c>
      <c r="T3" s="35" t="s">
        <v>66</v>
      </c>
      <c r="U3" s="36" t="s">
        <v>67</v>
      </c>
      <c r="V3" s="36" t="s">
        <v>67</v>
      </c>
      <c r="W3" s="36" t="s">
        <v>67</v>
      </c>
      <c r="X3" s="36" t="s">
        <v>67</v>
      </c>
      <c r="Y3" s="36" t="s">
        <v>67</v>
      </c>
      <c r="Z3" s="36" t="s">
        <v>67</v>
      </c>
    </row>
    <row r="4" spans="1:26" ht="19.5" customHeight="1" x14ac:dyDescent="0.2">
      <c r="A4" s="20" t="s">
        <v>68</v>
      </c>
      <c r="B4" s="18" t="s">
        <v>69</v>
      </c>
      <c r="C4" s="18" t="s">
        <v>18</v>
      </c>
      <c r="D4" s="37">
        <v>46173</v>
      </c>
      <c r="E4" s="38">
        <f t="shared" ref="E4:E33" si="0">IF(D4="","",D4-90)</f>
        <v>46083</v>
      </c>
      <c r="F4" s="38">
        <f t="shared" ref="F4:F33" si="1">IF(D4="","",D4-60)</f>
        <v>46113</v>
      </c>
      <c r="G4" s="38">
        <f t="shared" ref="G4:G33" si="2">IF(D4="","",D4-30)</f>
        <v>46143</v>
      </c>
      <c r="H4" s="39">
        <v>500</v>
      </c>
      <c r="I4" s="19">
        <v>2195</v>
      </c>
      <c r="J4" s="40" t="str">
        <f t="shared" si="3" ref="J4:J33">IF(I4="","",IF(ABS(N4-V4)&lt;=ABS(M4-V4),IF(ABS(N4-V4)&lt;=ABS(O4-V4),"Offer 2","Offer 3"),IF(ABS(M4-V4)&lt;=ABS(O4-V4),"Offer 1","Offer 3")))</f>
      </c>
      <c r="K4" s="78"/>
      <c r="L4" s="41">
        <f t="shared" si="10" ref="L4:L33">IF(OR(I4="",K4=""),"",CEILING(I4*(1+K4),5))</f>
      </c>
      <c r="M4" s="41">
        <f t="shared" si="4" ref="M4:M33">IF(I4="","",IF(W4="Under",CEILING(MAX(I4*1.02,MIN(U4,V4)*0.95),5),CEILING(MAX(I4*1.03,MIN(U4,V4)*0.97),5)))</f>
      </c>
      <c r="N4" s="41">
        <f t="shared" si="5" ref="N4:N33">IF(I4="","",IF(W4="Under",CEILING(MAX(I4*1.03,(U4+V4)/2*0.96),5),CEILING(MAX(I4*1.05,(U4+V4)/2*0.98),5)))</f>
      </c>
      <c r="O4" s="41">
        <f t="shared" si="6" ref="O4:O33">IF(I4="","",IF(W4="Under",CEILING(MAX(I4*1.05,MIN(U4,V4*1.01)),5),CEILING(MAX(I4*1.08,MIN(U4,V4*1.02)),5)))</f>
      </c>
      <c r="P4" s="18"/>
      <c r="Q4" s="18"/>
      <c r="R4" s="18"/>
      <c r="S4" s="18"/>
      <c r="T4" s="18"/>
      <c r="U4" s="41">
        <f>IF(C4="","",IFERROR(VLOOKUP(C4,SETUP!$A$9:$D$18,2,0),"⚠ Check SETUP"))</f>
      </c>
      <c r="V4" s="41">
        <f>IF(C4="","",IFERROR(VLOOKUP(C4,SETUP!$A$9:$D$18,3,0),"⚠ Check SETUP"))</f>
      </c>
      <c r="W4" s="40" t="str">
        <f>IF(C4="","",IFERROR(VLOOKUP(C4,SETUP!$A$9:$D$18,4,0),"⚠ Check SETUP"))</f>
      </c>
      <c r="X4" s="42">
        <f t="shared" si="7" ref="X4:X33">IF(OR(I4="",M4=""),"",(M4-I4)/I4)</f>
      </c>
      <c r="Y4" s="42">
        <f t="shared" si="8" ref="Y4:Y33">IF(OR(I4="",N4=""),"",(N4-I4)/I4)</f>
      </c>
      <c r="Z4" s="42">
        <f t="shared" si="9" ref="Z4:Z33">IF(OR(I4="",O4=""),"",(O4-I4)/I4)</f>
      </c>
    </row>
    <row r="5" spans="1:26" ht="19.5" customHeight="1" x14ac:dyDescent="0.2">
      <c r="A5" s="20" t="s">
        <v>70</v>
      </c>
      <c r="B5" s="18" t="s">
        <v>71</v>
      </c>
      <c r="C5" s="18" t="s">
        <v>15</v>
      </c>
      <c r="D5" s="37">
        <v>46174</v>
      </c>
      <c r="E5" s="38">
        <f t="shared" si="0"/>
        <v>46084</v>
      </c>
      <c r="F5" s="38">
        <f t="shared" si="1"/>
        <v>46114</v>
      </c>
      <c r="G5" s="38">
        <f t="shared" si="2"/>
        <v>46144</v>
      </c>
      <c r="H5" s="39">
        <v>0</v>
      </c>
      <c r="I5" s="19">
        <v>1895</v>
      </c>
      <c r="J5" s="40" t="str">
        <f t="shared" si="3"/>
      </c>
      <c r="K5" s="78"/>
      <c r="L5" s="41">
        <f t="shared" si="10"/>
      </c>
      <c r="M5" s="41">
        <f t="shared" si="4"/>
      </c>
      <c r="N5" s="41">
        <f t="shared" si="5"/>
      </c>
      <c r="O5" s="41">
        <f t="shared" si="6"/>
      </c>
      <c r="P5" s="18"/>
      <c r="Q5" s="18"/>
      <c r="R5" s="18"/>
      <c r="S5" s="18"/>
      <c r="T5" s="18"/>
      <c r="U5" s="41">
        <f>IF(C5="","",IFERROR(VLOOKUP(C5,SETUP!$A$9:$D$18,2,0),"⚠ Check SETUP"))</f>
      </c>
      <c r="V5" s="41">
        <f>IF(C5="","",IFERROR(VLOOKUP(C5,SETUP!$A$9:$D$18,3,0),"⚠ Check SETUP"))</f>
      </c>
      <c r="W5" s="40" t="str">
        <f>IF(C5="","",IFERROR(VLOOKUP(C5,SETUP!$A$9:$D$18,4,0),"⚠ Check SETUP"))</f>
      </c>
      <c r="X5" s="42">
        <f t="shared" si="7"/>
      </c>
      <c r="Y5" s="42">
        <f t="shared" si="8"/>
      </c>
      <c r="Z5" s="42">
        <f t="shared" si="9"/>
      </c>
    </row>
    <row r="6" spans="1:26" ht="19.5" customHeight="1" x14ac:dyDescent="0.2">
      <c r="A6" s="20" t="s">
        <v>72</v>
      </c>
      <c r="B6" s="18" t="s">
        <v>73</v>
      </c>
      <c r="C6" s="18" t="s">
        <v>18</v>
      </c>
      <c r="D6" s="37">
        <v>46177</v>
      </c>
      <c r="E6" s="38">
        <f t="shared" si="0"/>
        <v>46087</v>
      </c>
      <c r="F6" s="38">
        <f t="shared" si="1"/>
        <v>46117</v>
      </c>
      <c r="G6" s="38">
        <f t="shared" si="2"/>
        <v>46147</v>
      </c>
      <c r="H6" s="39">
        <v>2195</v>
      </c>
      <c r="I6" s="19">
        <v>2195</v>
      </c>
      <c r="J6" s="40" t="str">
        <f t="shared" si="3"/>
      </c>
      <c r="K6" s="78"/>
      <c r="L6" s="41">
        <f t="shared" si="10"/>
      </c>
      <c r="M6" s="41">
        <f t="shared" si="4"/>
      </c>
      <c r="N6" s="41">
        <f t="shared" si="5"/>
      </c>
      <c r="O6" s="41">
        <f t="shared" si="6"/>
      </c>
      <c r="P6" s="18"/>
      <c r="Q6" s="18"/>
      <c r="R6" s="18"/>
      <c r="S6" s="18"/>
      <c r="T6" s="18"/>
      <c r="U6" s="41">
        <f>IF(C6="","",IFERROR(VLOOKUP(C6,SETUP!$A$9:$D$18,2,0),"⚠ Check SETUP"))</f>
      </c>
      <c r="V6" s="41">
        <f>IF(C6="","",IFERROR(VLOOKUP(C6,SETUP!$A$9:$D$18,3,0),"⚠ Check SETUP"))</f>
      </c>
      <c r="W6" s="40" t="str">
        <f>IF(C6="","",IFERROR(VLOOKUP(C6,SETUP!$A$9:$D$18,4,0),"⚠ Check SETUP"))</f>
      </c>
      <c r="X6" s="42">
        <f t="shared" si="7"/>
      </c>
      <c r="Y6" s="42">
        <f t="shared" si="8"/>
      </c>
      <c r="Z6" s="42">
        <f t="shared" si="9"/>
      </c>
    </row>
    <row r="7" spans="1:26" ht="19.5" customHeight="1" x14ac:dyDescent="0.2">
      <c r="A7" s="20" t="s">
        <v>74</v>
      </c>
      <c r="B7" s="18" t="s">
        <v>75</v>
      </c>
      <c r="C7" s="18" t="s">
        <v>15</v>
      </c>
      <c r="D7" s="37">
        <v>46180</v>
      </c>
      <c r="E7" s="38">
        <f t="shared" si="0"/>
        <v>46090</v>
      </c>
      <c r="F7" s="38">
        <f t="shared" si="1"/>
        <v>46120</v>
      </c>
      <c r="G7" s="38">
        <f t="shared" si="2"/>
        <v>46150</v>
      </c>
      <c r="H7" s="39">
        <v>1895</v>
      </c>
      <c r="I7" s="19">
        <v>1895</v>
      </c>
      <c r="J7" s="40" t="str">
        <f t="shared" si="3"/>
      </c>
      <c r="K7" s="78"/>
      <c r="L7" s="41">
        <f t="shared" si="10"/>
      </c>
      <c r="M7" s="41">
        <f t="shared" si="4"/>
      </c>
      <c r="N7" s="41">
        <f t="shared" si="5"/>
      </c>
      <c r="O7" s="41">
        <f t="shared" si="6"/>
      </c>
      <c r="P7" s="18"/>
      <c r="Q7" s="18"/>
      <c r="R7" s="18"/>
      <c r="S7" s="18"/>
      <c r="T7" s="18"/>
      <c r="U7" s="41">
        <f>IF(C7="","",IFERROR(VLOOKUP(C7,SETUP!$A$9:$D$18,2,0),"⚠ Check SETUP"))</f>
      </c>
      <c r="V7" s="41">
        <f>IF(C7="","",IFERROR(VLOOKUP(C7,SETUP!$A$9:$D$18,3,0),"⚠ Check SETUP"))</f>
      </c>
      <c r="W7" s="40" t="str">
        <f>IF(C7="","",IFERROR(VLOOKUP(C7,SETUP!$A$9:$D$18,4,0),"⚠ Check SETUP"))</f>
      </c>
      <c r="X7" s="42">
        <f t="shared" si="7"/>
      </c>
      <c r="Y7" s="42">
        <f t="shared" si="8"/>
      </c>
      <c r="Z7" s="42">
        <f t="shared" si="9"/>
      </c>
    </row>
    <row r="8" spans="1:26" ht="19.5" customHeight="1" x14ac:dyDescent="0.2">
      <c r="A8" s="20" t="s">
        <v>76</v>
      </c>
      <c r="B8" s="18" t="s">
        <v>77</v>
      </c>
      <c r="C8" s="18" t="s">
        <v>15</v>
      </c>
      <c r="D8" s="37">
        <v>46195</v>
      </c>
      <c r="E8" s="38">
        <f t="shared" si="0"/>
        <v>46105</v>
      </c>
      <c r="F8" s="38">
        <f t="shared" si="1"/>
        <v>46135</v>
      </c>
      <c r="G8" s="38">
        <f t="shared" si="2"/>
        <v>46165</v>
      </c>
      <c r="H8" s="39">
        <v>0</v>
      </c>
      <c r="I8" s="19">
        <v>1895</v>
      </c>
      <c r="J8" s="40" t="str">
        <f t="shared" si="3"/>
      </c>
      <c r="K8" s="78"/>
      <c r="L8" s="41">
        <f t="shared" si="10"/>
      </c>
      <c r="M8" s="41">
        <f t="shared" si="4"/>
      </c>
      <c r="N8" s="41">
        <f t="shared" si="5"/>
      </c>
      <c r="O8" s="41">
        <f t="shared" si="6"/>
      </c>
      <c r="P8" s="18"/>
      <c r="Q8" s="18"/>
      <c r="R8" s="18"/>
      <c r="S8" s="18"/>
      <c r="T8" s="18"/>
      <c r="U8" s="41">
        <f>IF(C8="","",IFERROR(VLOOKUP(C8,SETUP!$A$9:$D$18,2,0),"⚠ Check SETUP"))</f>
      </c>
      <c r="V8" s="41">
        <f>IF(C8="","",IFERROR(VLOOKUP(C8,SETUP!$A$9:$D$18,3,0),"⚠ Check SETUP"))</f>
      </c>
      <c r="W8" s="40" t="str">
        <f>IF(C8="","",IFERROR(VLOOKUP(C8,SETUP!$A$9:$D$18,4,0),"⚠ Check SETUP"))</f>
      </c>
      <c r="X8" s="42">
        <f t="shared" si="7"/>
      </c>
      <c r="Y8" s="42">
        <f t="shared" si="8"/>
      </c>
      <c r="Z8" s="42">
        <f t="shared" si="9"/>
      </c>
    </row>
    <row r="9" spans="1:26" ht="19.5" customHeight="1" x14ac:dyDescent="0.2">
      <c r="A9" s="20" t="s">
        <v>78</v>
      </c>
      <c r="B9" s="18" t="s">
        <v>79</v>
      </c>
      <c r="C9" s="18" t="s">
        <v>18</v>
      </c>
      <c r="D9" s="37">
        <v>46198</v>
      </c>
      <c r="E9" s="38">
        <f t="shared" si="0"/>
        <v>46108</v>
      </c>
      <c r="F9" s="38">
        <f t="shared" si="1"/>
        <v>46138</v>
      </c>
      <c r="G9" s="38">
        <f t="shared" si="2"/>
        <v>46168</v>
      </c>
      <c r="H9" s="39">
        <v>0</v>
      </c>
      <c r="I9" s="19">
        <v>2195</v>
      </c>
      <c r="J9" s="40" t="str">
        <f t="shared" si="3"/>
      </c>
      <c r="K9" s="78"/>
      <c r="L9" s="41">
        <f t="shared" si="10"/>
      </c>
      <c r="M9" s="41">
        <f t="shared" si="4"/>
      </c>
      <c r="N9" s="41">
        <f t="shared" si="5"/>
      </c>
      <c r="O9" s="41">
        <f t="shared" si="6"/>
      </c>
      <c r="P9" s="18"/>
      <c r="Q9" s="18"/>
      <c r="R9" s="18"/>
      <c r="S9" s="18"/>
      <c r="T9" s="18"/>
      <c r="U9" s="41">
        <f>IF(C9="","",IFERROR(VLOOKUP(C9,SETUP!$A$9:$D$18,2,0),"⚠ Check SETUP"))</f>
      </c>
      <c r="V9" s="41">
        <f>IF(C9="","",IFERROR(VLOOKUP(C9,SETUP!$A$9:$D$18,3,0),"⚠ Check SETUP"))</f>
      </c>
      <c r="W9" s="40" t="str">
        <f>IF(C9="","",IFERROR(VLOOKUP(C9,SETUP!$A$9:$D$18,4,0),"⚠ Check SETUP"))</f>
      </c>
      <c r="X9" s="42">
        <f t="shared" si="7"/>
      </c>
      <c r="Y9" s="42">
        <f t="shared" si="8"/>
      </c>
      <c r="Z9" s="42">
        <f t="shared" si="9"/>
      </c>
    </row>
    <row r="10" spans="1:26" ht="19.5" customHeight="1" x14ac:dyDescent="0.2">
      <c r="A10" s="20" t="s">
        <v>80</v>
      </c>
      <c r="B10" s="18" t="s">
        <v>81</v>
      </c>
      <c r="C10" s="18" t="s">
        <v>18</v>
      </c>
      <c r="D10" s="37">
        <v>46203</v>
      </c>
      <c r="E10" s="38">
        <f t="shared" si="0"/>
        <v>46113</v>
      </c>
      <c r="F10" s="38">
        <f t="shared" si="1"/>
        <v>46143</v>
      </c>
      <c r="G10" s="38">
        <f t="shared" si="2"/>
        <v>46173</v>
      </c>
      <c r="H10" s="39">
        <v>0</v>
      </c>
      <c r="I10" s="19">
        <v>2195</v>
      </c>
      <c r="J10" s="40" t="str">
        <f t="shared" si="3"/>
      </c>
      <c r="K10" s="78"/>
      <c r="L10" s="41">
        <f t="shared" si="10"/>
      </c>
      <c r="M10" s="41">
        <f t="shared" si="4"/>
      </c>
      <c r="N10" s="41">
        <f t="shared" si="5"/>
      </c>
      <c r="O10" s="41">
        <f t="shared" si="6"/>
      </c>
      <c r="P10" s="18"/>
      <c r="Q10" s="18"/>
      <c r="R10" s="18"/>
      <c r="S10" s="18"/>
      <c r="T10" s="18"/>
      <c r="U10" s="41">
        <f>IF(C10="","",IFERROR(VLOOKUP(C10,SETUP!$A$9:$D$18,2,0),"⚠ Check SETUP"))</f>
      </c>
      <c r="V10" s="41">
        <f>IF(C10="","",IFERROR(VLOOKUP(C10,SETUP!$A$9:$D$18,3,0),"⚠ Check SETUP"))</f>
      </c>
      <c r="W10" s="40" t="str">
        <f>IF(C10="","",IFERROR(VLOOKUP(C10,SETUP!$A$9:$D$18,4,0),"⚠ Check SETUP"))</f>
      </c>
      <c r="X10" s="42">
        <f t="shared" si="7"/>
      </c>
      <c r="Y10" s="42">
        <f t="shared" si="8"/>
      </c>
      <c r="Z10" s="42">
        <f t="shared" si="9"/>
      </c>
    </row>
    <row r="11" spans="1:26" ht="19.5" customHeight="1" x14ac:dyDescent="0.2">
      <c r="A11" s="20" t="s">
        <v>82</v>
      </c>
      <c r="B11" s="18" t="s">
        <v>83</v>
      </c>
      <c r="C11" s="18" t="s">
        <v>15</v>
      </c>
      <c r="D11" s="37">
        <v>46213</v>
      </c>
      <c r="E11" s="38">
        <f t="shared" si="0"/>
        <v>46123</v>
      </c>
      <c r="F11" s="38">
        <f t="shared" si="1"/>
        <v>46153</v>
      </c>
      <c r="G11" s="38">
        <f t="shared" si="2"/>
        <v>46183</v>
      </c>
      <c r="H11" s="39">
        <v>0</v>
      </c>
      <c r="I11" s="19">
        <v>1895</v>
      </c>
      <c r="J11" s="40" t="str">
        <f t="shared" si="3"/>
      </c>
      <c r="K11" s="78"/>
      <c r="L11" s="41">
        <f t="shared" si="10"/>
      </c>
      <c r="M11" s="41">
        <f t="shared" si="4"/>
      </c>
      <c r="N11" s="41">
        <f t="shared" si="5"/>
      </c>
      <c r="O11" s="41">
        <f t="shared" si="6"/>
      </c>
      <c r="P11" s="18"/>
      <c r="Q11" s="18"/>
      <c r="R11" s="18"/>
      <c r="S11" s="18"/>
      <c r="T11" s="18"/>
      <c r="U11" s="41">
        <f>IF(C11="","",IFERROR(VLOOKUP(C11,SETUP!$A$9:$D$18,2,0),"⚠ Check SETUP"))</f>
      </c>
      <c r="V11" s="41">
        <f>IF(C11="","",IFERROR(VLOOKUP(C11,SETUP!$A$9:$D$18,3,0),"⚠ Check SETUP"))</f>
      </c>
      <c r="W11" s="40" t="str">
        <f>IF(C11="","",IFERROR(VLOOKUP(C11,SETUP!$A$9:$D$18,4,0),"⚠ Check SETUP"))</f>
      </c>
      <c r="X11" s="42">
        <f t="shared" si="7"/>
      </c>
      <c r="Y11" s="42">
        <f t="shared" si="8"/>
      </c>
      <c r="Z11" s="42">
        <f t="shared" si="9"/>
      </c>
    </row>
    <row r="12" spans="1:26" ht="19.5" customHeight="1" x14ac:dyDescent="0.2">
      <c r="A12" s="20" t="s">
        <v>84</v>
      </c>
      <c r="B12" s="18" t="s">
        <v>85</v>
      </c>
      <c r="C12" s="18" t="s">
        <v>18</v>
      </c>
      <c r="D12" s="37">
        <v>46215</v>
      </c>
      <c r="E12" s="38">
        <f t="shared" si="0"/>
        <v>46125</v>
      </c>
      <c r="F12" s="38">
        <f t="shared" si="1"/>
        <v>46155</v>
      </c>
      <c r="G12" s="38">
        <f t="shared" si="2"/>
        <v>46185</v>
      </c>
      <c r="H12" s="39">
        <v>500</v>
      </c>
      <c r="I12" s="19">
        <v>2395</v>
      </c>
      <c r="J12" s="40" t="str">
        <f t="shared" si="3"/>
      </c>
      <c r="K12" s="78"/>
      <c r="L12" s="41">
        <f t="shared" si="10"/>
      </c>
      <c r="M12" s="41">
        <f t="shared" si="4"/>
      </c>
      <c r="N12" s="41">
        <f t="shared" si="5"/>
      </c>
      <c r="O12" s="41">
        <f t="shared" si="6"/>
      </c>
      <c r="P12" s="18"/>
      <c r="Q12" s="18"/>
      <c r="R12" s="18"/>
      <c r="S12" s="18"/>
      <c r="T12" s="18"/>
      <c r="U12" s="41">
        <f>IF(C12="","",IFERROR(VLOOKUP(C12,SETUP!$A$9:$D$18,2,0),"⚠ Check SETUP"))</f>
      </c>
      <c r="V12" s="41">
        <f>IF(C12="","",IFERROR(VLOOKUP(C12,SETUP!$A$9:$D$18,3,0),"⚠ Check SETUP"))</f>
      </c>
      <c r="W12" s="40" t="str">
        <f>IF(C12="","",IFERROR(VLOOKUP(C12,SETUP!$A$9:$D$18,4,0),"⚠ Check SETUP"))</f>
      </c>
      <c r="X12" s="42">
        <f t="shared" si="7"/>
      </c>
      <c r="Y12" s="42">
        <f t="shared" si="8"/>
      </c>
      <c r="Z12" s="42">
        <f t="shared" si="9"/>
      </c>
    </row>
    <row r="13" spans="1:26" ht="19.5" customHeight="1" x14ac:dyDescent="0.2">
      <c r="A13" s="20" t="s">
        <v>86</v>
      </c>
      <c r="B13" s="18" t="s">
        <v>87</v>
      </c>
      <c r="C13" s="18" t="s">
        <v>18</v>
      </c>
      <c r="D13" s="37">
        <v>46228</v>
      </c>
      <c r="E13" s="38">
        <f t="shared" si="0"/>
        <v>46138</v>
      </c>
      <c r="F13" s="38">
        <f t="shared" si="1"/>
        <v>46168</v>
      </c>
      <c r="G13" s="38">
        <f t="shared" si="2"/>
        <v>46198</v>
      </c>
      <c r="H13" s="39">
        <v>0</v>
      </c>
      <c r="I13" s="19">
        <v>2395</v>
      </c>
      <c r="J13" s="40" t="str">
        <f t="shared" si="3"/>
      </c>
      <c r="K13" s="78"/>
      <c r="L13" s="41">
        <f t="shared" si="10"/>
      </c>
      <c r="M13" s="41">
        <f t="shared" si="4"/>
      </c>
      <c r="N13" s="41">
        <f t="shared" si="5"/>
      </c>
      <c r="O13" s="41">
        <f t="shared" si="6"/>
      </c>
      <c r="P13" s="18"/>
      <c r="Q13" s="18"/>
      <c r="R13" s="18"/>
      <c r="S13" s="18"/>
      <c r="T13" s="18"/>
      <c r="U13" s="41">
        <f>IF(C13="","",IFERROR(VLOOKUP(C13,SETUP!$A$9:$D$18,2,0),"⚠ Check SETUP"))</f>
      </c>
      <c r="V13" s="41">
        <f>IF(C13="","",IFERROR(VLOOKUP(C13,SETUP!$A$9:$D$18,3,0),"⚠ Check SETUP"))</f>
      </c>
      <c r="W13" s="40" t="str">
        <f>IF(C13="","",IFERROR(VLOOKUP(C13,SETUP!$A$9:$D$18,4,0),"⚠ Check SETUP"))</f>
      </c>
      <c r="X13" s="42">
        <f t="shared" si="7"/>
      </c>
      <c r="Y13" s="42">
        <f t="shared" si="8"/>
      </c>
      <c r="Z13" s="42">
        <f t="shared" si="9"/>
      </c>
    </row>
    <row r="14" spans="1:26" ht="19.5" customHeight="1" x14ac:dyDescent="0.2">
      <c r="A14" s="20" t="s">
        <v>88</v>
      </c>
      <c r="B14" s="18" t="s">
        <v>89</v>
      </c>
      <c r="C14" s="18" t="s">
        <v>18</v>
      </c>
      <c r="D14" s="37">
        <v>46232</v>
      </c>
      <c r="E14" s="38">
        <f t="shared" si="0"/>
        <v>46142</v>
      </c>
      <c r="F14" s="38">
        <f t="shared" si="1"/>
        <v>46172</v>
      </c>
      <c r="G14" s="38">
        <f t="shared" si="2"/>
        <v>46202</v>
      </c>
      <c r="H14" s="39">
        <v>0</v>
      </c>
      <c r="I14" s="19">
        <v>2195</v>
      </c>
      <c r="J14" s="40" t="str">
        <f t="shared" si="3"/>
      </c>
      <c r="K14" s="78"/>
      <c r="L14" s="41">
        <f t="shared" si="10"/>
      </c>
      <c r="M14" s="41">
        <f t="shared" si="4"/>
      </c>
      <c r="N14" s="41">
        <f t="shared" si="5"/>
      </c>
      <c r="O14" s="41">
        <f t="shared" si="6"/>
      </c>
      <c r="P14" s="18"/>
      <c r="Q14" s="18"/>
      <c r="R14" s="18"/>
      <c r="S14" s="18"/>
      <c r="T14" s="18"/>
      <c r="U14" s="41">
        <f>IF(C14="","",IFERROR(VLOOKUP(C14,SETUP!$A$9:$D$18,2,0),"⚠ Check SETUP"))</f>
      </c>
      <c r="V14" s="41">
        <f>IF(C14="","",IFERROR(VLOOKUP(C14,SETUP!$A$9:$D$18,3,0),"⚠ Check SETUP"))</f>
      </c>
      <c r="W14" s="40" t="str">
        <f>IF(C14="","",IFERROR(VLOOKUP(C14,SETUP!$A$9:$D$18,4,0),"⚠ Check SETUP"))</f>
      </c>
      <c r="X14" s="42">
        <f t="shared" si="7"/>
      </c>
      <c r="Y14" s="42">
        <f t="shared" si="8"/>
      </c>
      <c r="Z14" s="42">
        <f t="shared" si="9"/>
      </c>
    </row>
    <row r="15" spans="1:26" ht="19.5" customHeight="1" x14ac:dyDescent="0.2">
      <c r="A15" s="20" t="s">
        <v>90</v>
      </c>
      <c r="B15" s="18" t="s">
        <v>91</v>
      </c>
      <c r="C15" s="18" t="s">
        <v>18</v>
      </c>
      <c r="D15" s="37">
        <v>46232</v>
      </c>
      <c r="E15" s="38">
        <f t="shared" si="0"/>
        <v>46142</v>
      </c>
      <c r="F15" s="38">
        <f t="shared" si="1"/>
        <v>46172</v>
      </c>
      <c r="G15" s="38">
        <f t="shared" si="2"/>
        <v>46202</v>
      </c>
      <c r="H15" s="39">
        <v>0</v>
      </c>
      <c r="I15" s="19">
        <v>2095</v>
      </c>
      <c r="J15" s="40" t="str">
        <f t="shared" si="3"/>
      </c>
      <c r="K15" s="78"/>
      <c r="L15" s="41">
        <f t="shared" si="10"/>
      </c>
      <c r="M15" s="41">
        <f t="shared" si="4"/>
      </c>
      <c r="N15" s="41">
        <f t="shared" si="5"/>
      </c>
      <c r="O15" s="41">
        <f t="shared" si="6"/>
      </c>
      <c r="P15" s="18"/>
      <c r="Q15" s="18"/>
      <c r="R15" s="18"/>
      <c r="S15" s="18"/>
      <c r="T15" s="18"/>
      <c r="U15" s="41">
        <f>IF(C15="","",IFERROR(VLOOKUP(C15,SETUP!$A$9:$D$18,2,0),"⚠ Check SETUP"))</f>
      </c>
      <c r="V15" s="41">
        <f>IF(C15="","",IFERROR(VLOOKUP(C15,SETUP!$A$9:$D$18,3,0),"⚠ Check SETUP"))</f>
      </c>
      <c r="W15" s="40" t="str">
        <f>IF(C15="","",IFERROR(VLOOKUP(C15,SETUP!$A$9:$D$18,4,0),"⚠ Check SETUP"))</f>
      </c>
      <c r="X15" s="42">
        <f t="shared" si="7"/>
      </c>
      <c r="Y15" s="42">
        <f t="shared" si="8"/>
      </c>
      <c r="Z15" s="42">
        <f t="shared" si="9"/>
      </c>
    </row>
    <row r="16" spans="1:26" ht="19.5" customHeight="1" x14ac:dyDescent="0.2">
      <c r="A16" s="20" t="s">
        <v>92</v>
      </c>
      <c r="B16" s="18" t="s">
        <v>93</v>
      </c>
      <c r="C16" s="18" t="s">
        <v>18</v>
      </c>
      <c r="D16" s="37">
        <v>46234</v>
      </c>
      <c r="E16" s="38">
        <f t="shared" si="0"/>
        <v>46144</v>
      </c>
      <c r="F16" s="38">
        <f t="shared" si="1"/>
        <v>46174</v>
      </c>
      <c r="G16" s="38">
        <f t="shared" si="2"/>
        <v>46204</v>
      </c>
      <c r="H16" s="39">
        <v>0</v>
      </c>
      <c r="I16" s="19">
        <v>2395</v>
      </c>
      <c r="J16" s="40" t="str">
        <f t="shared" si="3"/>
      </c>
      <c r="K16" s="78"/>
      <c r="L16" s="41">
        <f t="shared" si="10"/>
      </c>
      <c r="M16" s="41">
        <f t="shared" si="4"/>
      </c>
      <c r="N16" s="41">
        <f t="shared" si="5"/>
      </c>
      <c r="O16" s="41">
        <f t="shared" si="6"/>
      </c>
      <c r="P16" s="18"/>
      <c r="Q16" s="18"/>
      <c r="R16" s="18"/>
      <c r="S16" s="18"/>
      <c r="T16" s="18"/>
      <c r="U16" s="41">
        <f>IF(C16="","",IFERROR(VLOOKUP(C16,SETUP!$A$9:$D$18,2,0),"⚠ Check SETUP"))</f>
      </c>
      <c r="V16" s="41">
        <f>IF(C16="","",IFERROR(VLOOKUP(C16,SETUP!$A$9:$D$18,3,0),"⚠ Check SETUP"))</f>
      </c>
      <c r="W16" s="40" t="str">
        <f>IF(C16="","",IFERROR(VLOOKUP(C16,SETUP!$A$9:$D$18,4,0),"⚠ Check SETUP"))</f>
      </c>
      <c r="X16" s="42">
        <f t="shared" si="7"/>
      </c>
      <c r="Y16" s="42">
        <f t="shared" si="8"/>
      </c>
      <c r="Z16" s="42">
        <f t="shared" si="9"/>
      </c>
    </row>
    <row r="17" spans="1:26" ht="19.5" customHeight="1" x14ac:dyDescent="0.2">
      <c r="A17" s="20" t="s">
        <v>94</v>
      </c>
      <c r="B17" s="18" t="s">
        <v>95</v>
      </c>
      <c r="C17" s="18" t="s">
        <v>18</v>
      </c>
      <c r="D17" s="37">
        <v>46234</v>
      </c>
      <c r="E17" s="38">
        <f t="shared" si="0"/>
        <v>46144</v>
      </c>
      <c r="F17" s="38">
        <f t="shared" si="1"/>
        <v>46174</v>
      </c>
      <c r="G17" s="38">
        <f t="shared" si="2"/>
        <v>46204</v>
      </c>
      <c r="H17" s="39">
        <v>2195</v>
      </c>
      <c r="I17" s="19">
        <v>2195</v>
      </c>
      <c r="J17" s="40" t="str">
        <f t="shared" si="3"/>
      </c>
      <c r="K17" s="78"/>
      <c r="L17" s="41">
        <f t="shared" si="10"/>
      </c>
      <c r="M17" s="41">
        <f t="shared" si="4"/>
      </c>
      <c r="N17" s="41">
        <f t="shared" si="5"/>
      </c>
      <c r="O17" s="41">
        <f t="shared" si="6"/>
      </c>
      <c r="P17" s="18"/>
      <c r="Q17" s="18"/>
      <c r="R17" s="18"/>
      <c r="S17" s="18"/>
      <c r="T17" s="18"/>
      <c r="U17" s="41">
        <f>IF(C17="","",IFERROR(VLOOKUP(C17,SETUP!$A$9:$D$18,2,0),"⚠ Check SETUP"))</f>
      </c>
      <c r="V17" s="41">
        <f>IF(C17="","",IFERROR(VLOOKUP(C17,SETUP!$A$9:$D$18,3,0),"⚠ Check SETUP"))</f>
      </c>
      <c r="W17" s="40" t="str">
        <f>IF(C17="","",IFERROR(VLOOKUP(C17,SETUP!$A$9:$D$18,4,0),"⚠ Check SETUP"))</f>
      </c>
      <c r="X17" s="42">
        <f t="shared" si="7"/>
      </c>
      <c r="Y17" s="42">
        <f t="shared" si="8"/>
      </c>
      <c r="Z17" s="42">
        <f t="shared" si="9"/>
      </c>
    </row>
    <row r="18" spans="1:26" ht="19.5" customHeight="1" x14ac:dyDescent="0.2">
      <c r="A18" s="20"/>
      <c r="B18" s="18"/>
      <c r="C18" s="18"/>
      <c r="D18" s="37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39"/>
      <c r="I18" s="19"/>
      <c r="J18" s="40" t="str">
        <f t="shared" si="3"/>
      </c>
      <c r="K18" s="78"/>
      <c r="L18" s="41">
        <f t="shared" si="10"/>
      </c>
      <c r="M18" s="41">
        <f t="shared" si="4"/>
      </c>
      <c r="N18" s="41">
        <f t="shared" si="5"/>
      </c>
      <c r="O18" s="41">
        <f t="shared" si="6"/>
      </c>
      <c r="P18" s="18"/>
      <c r="Q18" s="18"/>
      <c r="R18" s="18"/>
      <c r="S18" s="18"/>
      <c r="T18" s="18"/>
      <c r="U18" s="41">
        <f>IF(C18="","",IFERROR(VLOOKUP(C18,SETUP!$A$9:$D$18,2,0),"⚠ Check SETUP"))</f>
      </c>
      <c r="V18" s="41">
        <f>IF(C18="","",IFERROR(VLOOKUP(C18,SETUP!$A$9:$D$18,3,0),"⚠ Check SETUP"))</f>
      </c>
      <c r="W18" s="40" t="str">
        <f>IF(C18="","",IFERROR(VLOOKUP(C18,SETUP!$A$9:$D$18,4,0),"⚠ Check SETUP"))</f>
      </c>
      <c r="X18" s="42">
        <f t="shared" si="7"/>
      </c>
      <c r="Y18" s="42">
        <f t="shared" si="8"/>
      </c>
      <c r="Z18" s="42">
        <f t="shared" si="9"/>
      </c>
    </row>
    <row r="19" spans="1:26" ht="19.5" customHeight="1" x14ac:dyDescent="0.2">
      <c r="A19" s="20"/>
      <c r="B19" s="18"/>
      <c r="C19" s="18"/>
      <c r="D19" s="37"/>
      <c r="E19" s="38" t="str">
        <f t="shared" si="0"/>
        <v/>
      </c>
      <c r="F19" s="38" t="str">
        <f t="shared" si="1"/>
        <v/>
      </c>
      <c r="G19" s="38" t="str">
        <f t="shared" si="2"/>
        <v/>
      </c>
      <c r="H19" s="39"/>
      <c r="I19" s="19"/>
      <c r="J19" s="40" t="str">
        <f t="shared" si="3"/>
      </c>
      <c r="K19" s="78"/>
      <c r="L19" s="41">
        <f t="shared" si="10"/>
      </c>
      <c r="M19" s="41">
        <f t="shared" si="4"/>
      </c>
      <c r="N19" s="41">
        <f t="shared" si="5"/>
      </c>
      <c r="O19" s="41">
        <f t="shared" si="6"/>
      </c>
      <c r="P19" s="18"/>
      <c r="Q19" s="18"/>
      <c r="R19" s="18"/>
      <c r="S19" s="18"/>
      <c r="T19" s="18"/>
      <c r="U19" s="41">
        <f>IF(C19="","",IFERROR(VLOOKUP(C19,SETUP!$A$9:$D$18,2,0),"⚠ Check SETUP"))</f>
      </c>
      <c r="V19" s="41">
        <f>IF(C19="","",IFERROR(VLOOKUP(C19,SETUP!$A$9:$D$18,3,0),"⚠ Check SETUP"))</f>
      </c>
      <c r="W19" s="40" t="str">
        <f>IF(C19="","",IFERROR(VLOOKUP(C19,SETUP!$A$9:$D$18,4,0),"⚠ Check SETUP"))</f>
      </c>
      <c r="X19" s="42">
        <f t="shared" si="7"/>
      </c>
      <c r="Y19" s="42">
        <f t="shared" si="8"/>
      </c>
      <c r="Z19" s="42">
        <f t="shared" si="9"/>
      </c>
    </row>
    <row r="20" spans="1:26" ht="19.5" customHeight="1" x14ac:dyDescent="0.2">
      <c r="A20" s="20"/>
      <c r="B20" s="18"/>
      <c r="C20" s="18"/>
      <c r="D20" s="37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39"/>
      <c r="I20" s="19"/>
      <c r="J20" s="40" t="str">
        <f t="shared" si="3"/>
      </c>
      <c r="K20" s="78"/>
      <c r="L20" s="41">
        <f t="shared" si="10"/>
      </c>
      <c r="M20" s="41">
        <f t="shared" si="4"/>
      </c>
      <c r="N20" s="41">
        <f t="shared" si="5"/>
      </c>
      <c r="O20" s="41">
        <f t="shared" si="6"/>
      </c>
      <c r="P20" s="18"/>
      <c r="Q20" s="18"/>
      <c r="R20" s="18"/>
      <c r="S20" s="18"/>
      <c r="T20" s="18"/>
      <c r="U20" s="41">
        <f>IF(C20="","",IFERROR(VLOOKUP(C20,SETUP!$A$9:$D$18,2,0),"⚠ Check SETUP"))</f>
      </c>
      <c r="V20" s="41">
        <f>IF(C20="","",IFERROR(VLOOKUP(C20,SETUP!$A$9:$D$18,3,0),"⚠ Check SETUP"))</f>
      </c>
      <c r="W20" s="40" t="str">
        <f>IF(C20="","",IFERROR(VLOOKUP(C20,SETUP!$A$9:$D$18,4,0),"⚠ Check SETUP"))</f>
      </c>
      <c r="X20" s="42">
        <f t="shared" si="7"/>
      </c>
      <c r="Y20" s="42">
        <f t="shared" si="8"/>
      </c>
      <c r="Z20" s="42">
        <f t="shared" si="9"/>
      </c>
    </row>
    <row r="21" spans="1:26" ht="19.5" customHeight="1" x14ac:dyDescent="0.2">
      <c r="A21" s="20"/>
      <c r="B21" s="18"/>
      <c r="C21" s="18"/>
      <c r="D21" s="37"/>
      <c r="E21" s="38" t="str">
        <f t="shared" si="0"/>
        <v/>
      </c>
      <c r="F21" s="38" t="str">
        <f t="shared" si="1"/>
        <v/>
      </c>
      <c r="G21" s="38" t="str">
        <f t="shared" si="2"/>
        <v/>
      </c>
      <c r="H21" s="39"/>
      <c r="I21" s="19"/>
      <c r="J21" s="40" t="str">
        <f t="shared" si="3"/>
      </c>
      <c r="K21" s="78"/>
      <c r="L21" s="41">
        <f t="shared" si="10"/>
      </c>
      <c r="M21" s="41">
        <f t="shared" si="4"/>
      </c>
      <c r="N21" s="41">
        <f t="shared" si="5"/>
      </c>
      <c r="O21" s="41">
        <f t="shared" si="6"/>
      </c>
      <c r="P21" s="18"/>
      <c r="Q21" s="18"/>
      <c r="R21" s="18"/>
      <c r="S21" s="18"/>
      <c r="T21" s="18"/>
      <c r="U21" s="41">
        <f>IF(C21="","",IFERROR(VLOOKUP(C21,SETUP!$A$9:$D$18,2,0),"⚠ Check SETUP"))</f>
      </c>
      <c r="V21" s="41">
        <f>IF(C21="","",IFERROR(VLOOKUP(C21,SETUP!$A$9:$D$18,3,0),"⚠ Check SETUP"))</f>
      </c>
      <c r="W21" s="40" t="str">
        <f>IF(C21="","",IFERROR(VLOOKUP(C21,SETUP!$A$9:$D$18,4,0),"⚠ Check SETUP"))</f>
      </c>
      <c r="X21" s="42">
        <f t="shared" si="7"/>
      </c>
      <c r="Y21" s="42">
        <f t="shared" si="8"/>
      </c>
      <c r="Z21" s="42">
        <f t="shared" si="9"/>
      </c>
    </row>
    <row r="22" spans="1:26" ht="19.5" customHeight="1" x14ac:dyDescent="0.2">
      <c r="A22" s="20"/>
      <c r="B22" s="18"/>
      <c r="C22" s="18"/>
      <c r="D22" s="37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39"/>
      <c r="I22" s="19"/>
      <c r="J22" s="40" t="str">
        <f t="shared" si="3"/>
      </c>
      <c r="K22" s="78"/>
      <c r="L22" s="41">
        <f t="shared" si="10"/>
      </c>
      <c r="M22" s="41">
        <f t="shared" si="4"/>
      </c>
      <c r="N22" s="41">
        <f t="shared" si="5"/>
      </c>
      <c r="O22" s="41">
        <f t="shared" si="6"/>
      </c>
      <c r="P22" s="18"/>
      <c r="Q22" s="18"/>
      <c r="R22" s="18"/>
      <c r="S22" s="18"/>
      <c r="T22" s="18"/>
      <c r="U22" s="41">
        <f>IF(C22="","",IFERROR(VLOOKUP(C22,SETUP!$A$9:$D$18,2,0),"⚠ Check SETUP"))</f>
      </c>
      <c r="V22" s="41">
        <f>IF(C22="","",IFERROR(VLOOKUP(C22,SETUP!$A$9:$D$18,3,0),"⚠ Check SETUP"))</f>
      </c>
      <c r="W22" s="40" t="str">
        <f>IF(C22="","",IFERROR(VLOOKUP(C22,SETUP!$A$9:$D$18,4,0),"⚠ Check SETUP"))</f>
      </c>
      <c r="X22" s="42">
        <f t="shared" si="7"/>
      </c>
      <c r="Y22" s="42">
        <f t="shared" si="8"/>
      </c>
      <c r="Z22" s="42">
        <f t="shared" si="9"/>
      </c>
    </row>
    <row r="23" spans="1:26" ht="19.5" customHeight="1" x14ac:dyDescent="0.2">
      <c r="A23" s="20"/>
      <c r="B23" s="18"/>
      <c r="C23" s="18"/>
      <c r="D23" s="37"/>
      <c r="E23" s="38" t="str">
        <f t="shared" si="0"/>
        <v/>
      </c>
      <c r="F23" s="38" t="str">
        <f t="shared" si="1"/>
        <v/>
      </c>
      <c r="G23" s="38" t="str">
        <f t="shared" si="2"/>
        <v/>
      </c>
      <c r="H23" s="39"/>
      <c r="I23" s="19"/>
      <c r="J23" s="40" t="str">
        <f t="shared" si="3"/>
      </c>
      <c r="K23" s="78"/>
      <c r="L23" s="41">
        <f t="shared" si="10"/>
      </c>
      <c r="M23" s="41">
        <f t="shared" si="4"/>
      </c>
      <c r="N23" s="41">
        <f t="shared" si="5"/>
      </c>
      <c r="O23" s="41">
        <f t="shared" si="6"/>
      </c>
      <c r="P23" s="18"/>
      <c r="Q23" s="18"/>
      <c r="R23" s="18"/>
      <c r="S23" s="18"/>
      <c r="T23" s="18"/>
      <c r="U23" s="41">
        <f>IF(C23="","",IFERROR(VLOOKUP(C23,SETUP!$A$9:$D$18,2,0),"⚠ Check SETUP"))</f>
      </c>
      <c r="V23" s="41">
        <f>IF(C23="","",IFERROR(VLOOKUP(C23,SETUP!$A$9:$D$18,3,0),"⚠ Check SETUP"))</f>
      </c>
      <c r="W23" s="40" t="str">
        <f>IF(C23="","",IFERROR(VLOOKUP(C23,SETUP!$A$9:$D$18,4,0),"⚠ Check SETUP"))</f>
      </c>
      <c r="X23" s="42">
        <f t="shared" si="7"/>
      </c>
      <c r="Y23" s="42">
        <f t="shared" si="8"/>
      </c>
      <c r="Z23" s="42">
        <f t="shared" si="9"/>
      </c>
    </row>
    <row r="24" spans="1:26" ht="19.5" customHeight="1" x14ac:dyDescent="0.2">
      <c r="A24" s="20"/>
      <c r="B24" s="18"/>
      <c r="C24" s="18"/>
      <c r="D24" s="37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39"/>
      <c r="I24" s="19"/>
      <c r="J24" s="40" t="str">
        <f t="shared" si="3"/>
      </c>
      <c r="K24" s="78"/>
      <c r="L24" s="41">
        <f t="shared" si="10"/>
      </c>
      <c r="M24" s="41">
        <f t="shared" si="4"/>
      </c>
      <c r="N24" s="41">
        <f t="shared" si="5"/>
      </c>
      <c r="O24" s="41">
        <f t="shared" si="6"/>
      </c>
      <c r="P24" s="18"/>
      <c r="Q24" s="18"/>
      <c r="R24" s="18"/>
      <c r="S24" s="18"/>
      <c r="T24" s="18"/>
      <c r="U24" s="41">
        <f>IF(C24="","",IFERROR(VLOOKUP(C24,SETUP!$A$9:$D$18,2,0),"⚠ Check SETUP"))</f>
      </c>
      <c r="V24" s="41">
        <f>IF(C24="","",IFERROR(VLOOKUP(C24,SETUP!$A$9:$D$18,3,0),"⚠ Check SETUP"))</f>
      </c>
      <c r="W24" s="40" t="str">
        <f>IF(C24="","",IFERROR(VLOOKUP(C24,SETUP!$A$9:$D$18,4,0),"⚠ Check SETUP"))</f>
      </c>
      <c r="X24" s="42">
        <f t="shared" si="7"/>
      </c>
      <c r="Y24" s="42">
        <f t="shared" si="8"/>
      </c>
      <c r="Z24" s="42">
        <f t="shared" si="9"/>
      </c>
    </row>
    <row r="25" spans="1:26" ht="19.5" customHeight="1" x14ac:dyDescent="0.2">
      <c r="A25" s="20"/>
      <c r="B25" s="18"/>
      <c r="C25" s="18"/>
      <c r="D25" s="37"/>
      <c r="E25" s="38" t="str">
        <f t="shared" si="0"/>
        <v/>
      </c>
      <c r="F25" s="38" t="str">
        <f t="shared" si="1"/>
        <v/>
      </c>
      <c r="G25" s="38" t="str">
        <f t="shared" si="2"/>
        <v/>
      </c>
      <c r="H25" s="39"/>
      <c r="I25" s="19"/>
      <c r="J25" s="40" t="str">
        <f t="shared" si="3"/>
      </c>
      <c r="K25" s="78"/>
      <c r="L25" s="41">
        <f t="shared" si="10"/>
      </c>
      <c r="M25" s="41">
        <f t="shared" si="4"/>
      </c>
      <c r="N25" s="41">
        <f t="shared" si="5"/>
      </c>
      <c r="O25" s="41">
        <f t="shared" si="6"/>
      </c>
      <c r="P25" s="18"/>
      <c r="Q25" s="18"/>
      <c r="R25" s="18"/>
      <c r="S25" s="18"/>
      <c r="T25" s="18"/>
      <c r="U25" s="41">
        <f>IF(C25="","",IFERROR(VLOOKUP(C25,SETUP!$A$9:$D$18,2,0),"⚠ Check SETUP"))</f>
      </c>
      <c r="V25" s="41">
        <f>IF(C25="","",IFERROR(VLOOKUP(C25,SETUP!$A$9:$D$18,3,0),"⚠ Check SETUP"))</f>
      </c>
      <c r="W25" s="40" t="str">
        <f>IF(C25="","",IFERROR(VLOOKUP(C25,SETUP!$A$9:$D$18,4,0),"⚠ Check SETUP"))</f>
      </c>
      <c r="X25" s="42">
        <f t="shared" si="7"/>
      </c>
      <c r="Y25" s="42">
        <f t="shared" si="8"/>
      </c>
      <c r="Z25" s="42">
        <f t="shared" si="9"/>
      </c>
    </row>
    <row r="26" spans="1:26" ht="19.5" customHeight="1" x14ac:dyDescent="0.2">
      <c r="A26" s="20"/>
      <c r="B26" s="18"/>
      <c r="C26" s="18"/>
      <c r="D26" s="37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39"/>
      <c r="I26" s="19"/>
      <c r="J26" s="40" t="str">
        <f t="shared" si="3"/>
      </c>
      <c r="K26" s="78"/>
      <c r="L26" s="41">
        <f t="shared" si="10"/>
      </c>
      <c r="M26" s="41">
        <f t="shared" si="4"/>
      </c>
      <c r="N26" s="41">
        <f t="shared" si="5"/>
      </c>
      <c r="O26" s="41">
        <f t="shared" si="6"/>
      </c>
      <c r="P26" s="18"/>
      <c r="Q26" s="18"/>
      <c r="R26" s="18"/>
      <c r="S26" s="18"/>
      <c r="T26" s="18"/>
      <c r="U26" s="41">
        <f>IF(C26="","",IFERROR(VLOOKUP(C26,SETUP!$A$9:$D$18,2,0),"⚠ Check SETUP"))</f>
      </c>
      <c r="V26" s="41">
        <f>IF(C26="","",IFERROR(VLOOKUP(C26,SETUP!$A$9:$D$18,3,0),"⚠ Check SETUP"))</f>
      </c>
      <c r="W26" s="40" t="str">
        <f>IF(C26="","",IFERROR(VLOOKUP(C26,SETUP!$A$9:$D$18,4,0),"⚠ Check SETUP"))</f>
      </c>
      <c r="X26" s="42">
        <f t="shared" si="7"/>
      </c>
      <c r="Y26" s="42">
        <f t="shared" si="8"/>
      </c>
      <c r="Z26" s="42">
        <f t="shared" si="9"/>
      </c>
    </row>
    <row r="27" spans="1:26" ht="19.5" customHeight="1" x14ac:dyDescent="0.2">
      <c r="A27" s="20"/>
      <c r="B27" s="18"/>
      <c r="C27" s="18"/>
      <c r="D27" s="37"/>
      <c r="E27" s="38" t="str">
        <f t="shared" si="0"/>
        <v/>
      </c>
      <c r="F27" s="38" t="str">
        <f t="shared" si="1"/>
        <v/>
      </c>
      <c r="G27" s="38" t="str">
        <f t="shared" si="2"/>
        <v/>
      </c>
      <c r="H27" s="39"/>
      <c r="I27" s="19"/>
      <c r="J27" s="40" t="str">
        <f t="shared" si="3"/>
      </c>
      <c r="K27" s="78"/>
      <c r="L27" s="41">
        <f t="shared" si="10"/>
      </c>
      <c r="M27" s="41">
        <f t="shared" si="4"/>
      </c>
      <c r="N27" s="41">
        <f t="shared" si="5"/>
      </c>
      <c r="O27" s="41">
        <f t="shared" si="6"/>
      </c>
      <c r="P27" s="18"/>
      <c r="Q27" s="18"/>
      <c r="R27" s="18"/>
      <c r="S27" s="18"/>
      <c r="T27" s="18"/>
      <c r="U27" s="41">
        <f>IF(C27="","",IFERROR(VLOOKUP(C27,SETUP!$A$9:$D$18,2,0),"⚠ Check SETUP"))</f>
      </c>
      <c r="V27" s="41">
        <f>IF(C27="","",IFERROR(VLOOKUP(C27,SETUP!$A$9:$D$18,3,0),"⚠ Check SETUP"))</f>
      </c>
      <c r="W27" s="40" t="str">
        <f>IF(C27="","",IFERROR(VLOOKUP(C27,SETUP!$A$9:$D$18,4,0),"⚠ Check SETUP"))</f>
      </c>
      <c r="X27" s="42">
        <f t="shared" si="7"/>
      </c>
      <c r="Y27" s="42">
        <f t="shared" si="8"/>
      </c>
      <c r="Z27" s="42">
        <f t="shared" si="9"/>
      </c>
    </row>
    <row r="28" spans="1:26" ht="19.5" customHeight="1" x14ac:dyDescent="0.2">
      <c r="A28" s="20"/>
      <c r="B28" s="18"/>
      <c r="C28" s="18"/>
      <c r="D28" s="37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39"/>
      <c r="I28" s="19"/>
      <c r="J28" s="40" t="str">
        <f t="shared" si="3"/>
      </c>
      <c r="K28" s="78"/>
      <c r="L28" s="41">
        <f t="shared" si="10"/>
      </c>
      <c r="M28" s="41">
        <f t="shared" si="4"/>
      </c>
      <c r="N28" s="41">
        <f t="shared" si="5"/>
      </c>
      <c r="O28" s="41">
        <f t="shared" si="6"/>
      </c>
      <c r="P28" s="18"/>
      <c r="Q28" s="18"/>
      <c r="R28" s="18"/>
      <c r="S28" s="18"/>
      <c r="T28" s="18"/>
      <c r="U28" s="41">
        <f>IF(C28="","",IFERROR(VLOOKUP(C28,SETUP!$A$9:$D$18,2,0),"⚠ Check SETUP"))</f>
      </c>
      <c r="V28" s="41">
        <f>IF(C28="","",IFERROR(VLOOKUP(C28,SETUP!$A$9:$D$18,3,0),"⚠ Check SETUP"))</f>
      </c>
      <c r="W28" s="40" t="str">
        <f>IF(C28="","",IFERROR(VLOOKUP(C28,SETUP!$A$9:$D$18,4,0),"⚠ Check SETUP"))</f>
      </c>
      <c r="X28" s="42">
        <f t="shared" si="7"/>
      </c>
      <c r="Y28" s="42">
        <f t="shared" si="8"/>
      </c>
      <c r="Z28" s="42">
        <f t="shared" si="9"/>
      </c>
    </row>
    <row r="29" spans="1:26" ht="19.5" customHeight="1" x14ac:dyDescent="0.2">
      <c r="A29" s="20"/>
      <c r="B29" s="18"/>
      <c r="C29" s="18"/>
      <c r="D29" s="37"/>
      <c r="E29" s="38" t="str">
        <f t="shared" si="0"/>
        <v/>
      </c>
      <c r="F29" s="38" t="str">
        <f t="shared" si="1"/>
        <v/>
      </c>
      <c r="G29" s="38" t="str">
        <f t="shared" si="2"/>
        <v/>
      </c>
      <c r="H29" s="39"/>
      <c r="I29" s="19"/>
      <c r="J29" s="40" t="str">
        <f t="shared" si="3"/>
      </c>
      <c r="K29" s="78"/>
      <c r="L29" s="41">
        <f t="shared" si="10"/>
      </c>
      <c r="M29" s="41">
        <f t="shared" si="4"/>
      </c>
      <c r="N29" s="41">
        <f t="shared" si="5"/>
      </c>
      <c r="O29" s="41">
        <f t="shared" si="6"/>
      </c>
      <c r="P29" s="18"/>
      <c r="Q29" s="18"/>
      <c r="R29" s="18"/>
      <c r="S29" s="18"/>
      <c r="T29" s="18"/>
      <c r="U29" s="41">
        <f>IF(C29="","",IFERROR(VLOOKUP(C29,SETUP!$A$9:$D$18,2,0),"⚠ Check SETUP"))</f>
      </c>
      <c r="V29" s="41">
        <f>IF(C29="","",IFERROR(VLOOKUP(C29,SETUP!$A$9:$D$18,3,0),"⚠ Check SETUP"))</f>
      </c>
      <c r="W29" s="40" t="str">
        <f>IF(C29="","",IFERROR(VLOOKUP(C29,SETUP!$A$9:$D$18,4,0),"⚠ Check SETUP"))</f>
      </c>
      <c r="X29" s="42">
        <f t="shared" si="7"/>
      </c>
      <c r="Y29" s="42">
        <f t="shared" si="8"/>
      </c>
      <c r="Z29" s="42">
        <f t="shared" si="9"/>
      </c>
    </row>
    <row r="30" spans="1:26" ht="19.5" customHeight="1" x14ac:dyDescent="0.2">
      <c r="A30" s="20"/>
      <c r="B30" s="18"/>
      <c r="C30" s="18"/>
      <c r="D30" s="37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39"/>
      <c r="I30" s="19"/>
      <c r="J30" s="40" t="str">
        <f t="shared" si="3"/>
      </c>
      <c r="K30" s="78"/>
      <c r="L30" s="41">
        <f t="shared" si="10"/>
      </c>
      <c r="M30" s="41">
        <f t="shared" si="4"/>
      </c>
      <c r="N30" s="41">
        <f t="shared" si="5"/>
      </c>
      <c r="O30" s="41">
        <f t="shared" si="6"/>
      </c>
      <c r="P30" s="18"/>
      <c r="Q30" s="18"/>
      <c r="R30" s="18"/>
      <c r="S30" s="18"/>
      <c r="T30" s="18"/>
      <c r="U30" s="41">
        <f>IF(C30="","",IFERROR(VLOOKUP(C30,SETUP!$A$9:$D$18,2,0),"⚠ Check SETUP"))</f>
      </c>
      <c r="V30" s="41">
        <f>IF(C30="","",IFERROR(VLOOKUP(C30,SETUP!$A$9:$D$18,3,0),"⚠ Check SETUP"))</f>
      </c>
      <c r="W30" s="40" t="str">
        <f>IF(C30="","",IFERROR(VLOOKUP(C30,SETUP!$A$9:$D$18,4,0),"⚠ Check SETUP"))</f>
      </c>
      <c r="X30" s="42">
        <f t="shared" si="7"/>
      </c>
      <c r="Y30" s="42">
        <f t="shared" si="8"/>
      </c>
      <c r="Z30" s="42">
        <f t="shared" si="9"/>
      </c>
    </row>
    <row r="31" spans="1:26" ht="19.5" customHeight="1" x14ac:dyDescent="0.2">
      <c r="A31" s="20"/>
      <c r="B31" s="18"/>
      <c r="C31" s="18"/>
      <c r="D31" s="37"/>
      <c r="E31" s="38" t="str">
        <f t="shared" si="0"/>
        <v/>
      </c>
      <c r="F31" s="38" t="str">
        <f t="shared" si="1"/>
        <v/>
      </c>
      <c r="G31" s="38" t="str">
        <f t="shared" si="2"/>
        <v/>
      </c>
      <c r="H31" s="39"/>
      <c r="I31" s="19"/>
      <c r="J31" s="40" t="str">
        <f t="shared" si="3"/>
      </c>
      <c r="K31" s="78"/>
      <c r="L31" s="41">
        <f t="shared" si="10"/>
      </c>
      <c r="M31" s="41">
        <f t="shared" si="4"/>
      </c>
      <c r="N31" s="41">
        <f t="shared" si="5"/>
      </c>
      <c r="O31" s="41">
        <f t="shared" si="6"/>
      </c>
      <c r="P31" s="18"/>
      <c r="Q31" s="18"/>
      <c r="R31" s="18"/>
      <c r="S31" s="18"/>
      <c r="T31" s="18"/>
      <c r="U31" s="41">
        <f>IF(C31="","",IFERROR(VLOOKUP(C31,SETUP!$A$9:$D$18,2,0),"⚠ Check SETUP"))</f>
      </c>
      <c r="V31" s="41">
        <f>IF(C31="","",IFERROR(VLOOKUP(C31,SETUP!$A$9:$D$18,3,0),"⚠ Check SETUP"))</f>
      </c>
      <c r="W31" s="40" t="str">
        <f>IF(C31="","",IFERROR(VLOOKUP(C31,SETUP!$A$9:$D$18,4,0),"⚠ Check SETUP"))</f>
      </c>
      <c r="X31" s="42">
        <f t="shared" si="7"/>
      </c>
      <c r="Y31" s="42">
        <f t="shared" si="8"/>
      </c>
      <c r="Z31" s="42">
        <f t="shared" si="9"/>
      </c>
    </row>
    <row r="32" spans="1:26" ht="19.5" customHeight="1" x14ac:dyDescent="0.2">
      <c r="A32" s="20"/>
      <c r="B32" s="18"/>
      <c r="C32" s="18"/>
      <c r="D32" s="37"/>
      <c r="E32" s="38" t="str">
        <f t="shared" si="0"/>
        <v/>
      </c>
      <c r="F32" s="38" t="str">
        <f t="shared" si="1"/>
        <v/>
      </c>
      <c r="G32" s="38" t="str">
        <f t="shared" si="2"/>
        <v/>
      </c>
      <c r="H32" s="39"/>
      <c r="I32" s="19"/>
      <c r="J32" s="40" t="str">
        <f t="shared" si="3"/>
      </c>
      <c r="K32" s="78"/>
      <c r="L32" s="41">
        <f t="shared" si="10"/>
      </c>
      <c r="M32" s="41">
        <f t="shared" si="4"/>
      </c>
      <c r="N32" s="41">
        <f t="shared" si="5"/>
      </c>
      <c r="O32" s="41">
        <f t="shared" si="6"/>
      </c>
      <c r="P32" s="18"/>
      <c r="Q32" s="18"/>
      <c r="R32" s="18"/>
      <c r="S32" s="18"/>
      <c r="T32" s="18"/>
      <c r="U32" s="41">
        <f>IF(C32="","",IFERROR(VLOOKUP(C32,SETUP!$A$9:$D$18,2,0),"⚠ Check SETUP"))</f>
      </c>
      <c r="V32" s="41">
        <f>IF(C32="","",IFERROR(VLOOKUP(C32,SETUP!$A$9:$D$18,3,0),"⚠ Check SETUP"))</f>
      </c>
      <c r="W32" s="40" t="str">
        <f>IF(C32="","",IFERROR(VLOOKUP(C32,SETUP!$A$9:$D$18,4,0),"⚠ Check SETUP"))</f>
      </c>
      <c r="X32" s="42">
        <f t="shared" si="7"/>
      </c>
      <c r="Y32" s="42">
        <f t="shared" si="8"/>
      </c>
      <c r="Z32" s="42">
        <f t="shared" si="9"/>
      </c>
    </row>
    <row r="33" spans="1:26" ht="19.5" customHeight="1" x14ac:dyDescent="0.2">
      <c r="A33" s="20"/>
      <c r="B33" s="18"/>
      <c r="C33" s="18"/>
      <c r="D33" s="37"/>
      <c r="E33" s="38" t="str">
        <f t="shared" si="0"/>
        <v/>
      </c>
      <c r="F33" s="38" t="str">
        <f t="shared" si="1"/>
        <v/>
      </c>
      <c r="G33" s="38" t="str">
        <f t="shared" si="2"/>
        <v/>
      </c>
      <c r="H33" s="39"/>
      <c r="I33" s="19"/>
      <c r="J33" s="40" t="str">
        <f t="shared" si="3"/>
      </c>
      <c r="K33" s="78"/>
      <c r="L33" s="41">
        <f t="shared" si="10"/>
      </c>
      <c r="M33" s="41">
        <f t="shared" si="4"/>
      </c>
      <c r="N33" s="41">
        <f t="shared" si="5"/>
      </c>
      <c r="O33" s="41">
        <f t="shared" si="6"/>
      </c>
      <c r="P33" s="18"/>
      <c r="Q33" s="18"/>
      <c r="R33" s="18"/>
      <c r="S33" s="18"/>
      <c r="T33" s="18"/>
      <c r="U33" s="41">
        <f>IF(C33="","",IFERROR(VLOOKUP(C33,SETUP!$A$9:$D$18,2,0),"⚠ Check SETUP"))</f>
      </c>
      <c r="V33" s="41">
        <f>IF(C33="","",IFERROR(VLOOKUP(C33,SETUP!$A$9:$D$18,3,0),"⚠ Check SETUP"))</f>
      </c>
      <c r="W33" s="40" t="str">
        <f>IF(C33="","",IFERROR(VLOOKUP(C33,SETUP!$A$9:$D$18,4,0),"⚠ Check SETUP"))</f>
      </c>
      <c r="X33" s="42">
        <f t="shared" si="7"/>
      </c>
      <c r="Y33" s="42">
        <f t="shared" si="8"/>
      </c>
      <c r="Z33" s="42">
        <f t="shared" si="9"/>
      </c>
    </row>
    <row r="34" spans="1:26" ht="21.75" customHeight="1" x14ac:dyDescent="0.2">
      <c r="W34" s="43" t="inlineStr">
        <is>
          <t>Portfolio Avg →</t>
        </is>
      </c>
      <c r="X34" s="44">
        <f>IFERROR(AVERAGEIF(X4:X33,"&lt;&gt;"),"")</f>
      </c>
      <c r="Y34" s="44">
        <f>IFERROR(AVERAGEIF(Y4:Y33,"&lt;&gt;"),"")</f>
      </c>
      <c r="Z34" s="44">
        <f>IFERROR(AVERAGEIF(Z4:Z33,"&lt;&gt;"),"")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38" customHeight="1" x14ac:dyDescent="0.2">
      <c r="A37" s="34" t="s">
        <v>98</v>
      </c>
      <c r="B37" s="34" t="s">
        <v>99</v>
      </c>
      <c r="C37" s="34" t="s">
        <v>100</v>
      </c>
      <c r="D37" s="34" t="s">
        <v>101</v>
      </c>
      <c r="E37" s="34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14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COUNTA(P4:P33)</f>
      </c>
      <c r="C39" s="52">
        <f>IFERROR(B39/B38,"-")</f>
        <v>0</v>
      </c>
      <c r="D39" s="52" t="str">
        <f>IFERROR(B39/(B39+B40),"-")</f>
        <v>-</v>
      </c>
      <c r="E39" s="53" t="str">
        <f>IF(B38=0,"Awaiting data",IF(B39/B38&gt;=0.6,"On Track ✓","Needs Attention ⚠"))</f>
        <v>Needs Attention ⚠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COUNTA(R4:R33)</f>
      </c>
      <c r="C40" s="56">
        <f>IFERROR(B40/B38,"-")</f>
        <v>0</v>
      </c>
      <c r="D40" s="56" t="str">
        <f>IFERROR(B40/(B39+B40),"-")</f>
        <v>-</v>
      </c>
      <c r="E40" s="57" t="str">
        <f>IF(B38=0,"Awaiting data",IF(B40/B38&lt;=0.2,"Acceptable","High NTV ⚠"))</f>
        <v>Acceptable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COUNTA(Q4:Q33)</f>
      </c>
      <c r="C41" s="60">
        <f>IFERROR(B41/B38,"-")</f>
        <v>0</v>
      </c>
      <c r="D41" s="61" t="s">
        <v>107</v>
      </c>
      <c r="E41" s="62" t="s">
        <v>108</v>
      </c>
      <c r="F41" s="45"/>
      <c r="G41" s="45"/>
      <c r="H41" s="45"/>
    </row>
    <row r="42" spans="1:24" ht="47" customHeight="1" x14ac:dyDescent="0.2">
      <c r="A42" s="77" t="s">
        <v>109</v>
      </c>
      <c r="B42" s="64">
        <f>MAX(0,B38-B39-B40-B41)</f>
        <v>14</v>
      </c>
      <c r="C42" s="65">
        <f>IFERROR(B42/B38,"-")</f>
        <v>1</v>
      </c>
      <c r="D42" s="66" t="s">
        <v>107</v>
      </c>
      <c r="E42" s="67" t="str">
        <f>IF(B42=0,"All accounted for ✓","Follow up needed")</f>
        <v>Follow up needed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>
        <f>IFERROR(B39/B38,"-")</f>
        <v>0</v>
      </c>
      <c r="D44" s="2" t="str">
        <f>IF(B38=0,"Enter resident data to calculate",IF(B39/B38&gt;=0.6,"✓ Meeting target retention","⚠ Below target — review offers"))</f>
        <v>⚠ Below target — review offers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Z1"/>
    <mergeCell ref="A36:G36"/>
    <mergeCell ref="A44:B44"/>
    <mergeCell ref="D44:G44"/>
    <mergeCell ref="A45:B45"/>
    <mergeCell ref="D45:G45"/>
  </mergeCells>
  <conditionalFormatting sqref="A4:T33">
    <cfRule type="expression" dxfId="5" priority="2">
      <formula>$R4&lt;&gt;""</formula>
    </cfRule>
    <cfRule type="expression" dxfId="4" priority="3">
      <formula>$Q4&lt;&gt;""</formula>
    </cfRule>
    <cfRule type="expression" dxfId="3" priority="4">
      <formula>$P4&lt;&gt;""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dimension ref="A1:Z60"/>
  <sheetViews>
    <sheetView zoomScaleNormal="100" workbookViewId="0">
      <pane ySplit="3" topLeftCell="A4" activePane="bottomLeft" state="frozen"/>
      <selection pane="bottomLeft" sqref="A1:Z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4" customWidth="1" min="16" max="16"/>
    <col width="12" customWidth="1" min="17" max="17"/>
    <col width="12" customWidth="1" min="18" max="18"/>
    <col width="13" customWidth="1" min="19" max="19"/>
    <col width="22" customWidth="1" min="20" max="20"/>
    <col width="14" customWidth="1" min="21" max="21"/>
    <col width="12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spans="1:26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6" ht="49.5" customHeight="1" x14ac:dyDescent="0.2">
      <c r="A2" s="34" t="s">
        <v>43</v>
      </c>
      <c r="B2" s="34" t="s">
        <v>44</v>
      </c>
      <c r="C2" s="34" t="s">
        <v>45</v>
      </c>
      <c r="D2" s="34" t="s">
        <v>46</v>
      </c>
      <c r="E2" s="34" t="s">
        <v>47</v>
      </c>
      <c r="F2" s="34" t="s">
        <v>48</v>
      </c>
      <c r="G2" s="34" t="s">
        <v>49</v>
      </c>
      <c r="H2" s="34" t="s">
        <v>50</v>
      </c>
      <c r="I2" s="34" t="s">
        <v>51</v>
      </c>
      <c r="J2" s="34" t="s">
        <v>52</v>
      </c>
      <c r="K2" s="34" t="inlineStr">
        <is>
          <t>Investor
Override %</t>
        </is>
      </c>
      <c r="L2" s="34" t="inlineStr">
        <is>
          <t>Investor Override
Offer</t>
        </is>
      </c>
      <c r="M2" s="34" t="s">
        <v>53</v>
      </c>
      <c r="N2" s="34" t="s">
        <v>54</v>
      </c>
      <c r="O2" s="34" t="s">
        <v>55</v>
      </c>
      <c r="P2" s="34" t="s">
        <v>56</v>
      </c>
      <c r="Q2" s="34" t="s">
        <v>37</v>
      </c>
      <c r="R2" s="34" t="s">
        <v>57</v>
      </c>
      <c r="S2" s="34" t="s">
        <v>58</v>
      </c>
      <c r="T2" s="34" t="s">
        <v>59</v>
      </c>
      <c r="U2" s="34" t="s">
        <v>60</v>
      </c>
      <c r="V2" s="34" t="s">
        <v>61</v>
      </c>
      <c r="W2" s="34" t="s">
        <v>62</v>
      </c>
      <c r="X2" s="34" t="s">
        <v>63</v>
      </c>
      <c r="Y2" s="34" t="s">
        <v>64</v>
      </c>
      <c r="Z2" s="34" t="s">
        <v>65</v>
      </c>
    </row>
    <row r="3" spans="1:26" ht="12.75" customHeight="1" x14ac:dyDescent="0.2">
      <c r="A3" s="35" t="s">
        <v>66</v>
      </c>
      <c r="B3" s="35" t="s">
        <v>66</v>
      </c>
      <c r="C3" s="35" t="s">
        <v>66</v>
      </c>
      <c r="D3" s="35" t="s">
        <v>66</v>
      </c>
      <c r="E3" s="36" t="s">
        <v>67</v>
      </c>
      <c r="F3" s="36" t="s">
        <v>67</v>
      </c>
      <c r="G3" s="36" t="s">
        <v>67</v>
      </c>
      <c r="H3" s="35" t="s">
        <v>66</v>
      </c>
      <c r="I3" s="35" t="s">
        <v>66</v>
      </c>
      <c r="J3" s="36" t="s">
        <v>67</v>
      </c>
      <c r="K3" s="35" t="inlineStr">
        <is>
          <t>▼ Enter</t>
        </is>
      </c>
      <c r="L3" s="36" t="inlineStr">
        <is>
          <t>◀ Auto</t>
        </is>
      </c>
      <c r="M3" s="36" t="s">
        <v>67</v>
      </c>
      <c r="N3" s="36" t="s">
        <v>67</v>
      </c>
      <c r="O3" s="36" t="s">
        <v>67</v>
      </c>
      <c r="P3" s="35" t="s">
        <v>66</v>
      </c>
      <c r="Q3" s="35" t="s">
        <v>66</v>
      </c>
      <c r="R3" s="35" t="s">
        <v>66</v>
      </c>
      <c r="S3" s="35" t="s">
        <v>66</v>
      </c>
      <c r="T3" s="35" t="s">
        <v>66</v>
      </c>
      <c r="U3" s="36" t="s">
        <v>67</v>
      </c>
      <c r="V3" s="36" t="s">
        <v>67</v>
      </c>
      <c r="W3" s="36" t="s">
        <v>67</v>
      </c>
      <c r="X3" s="36" t="s">
        <v>67</v>
      </c>
      <c r="Y3" s="36" t="s">
        <v>67</v>
      </c>
      <c r="Z3" s="36" t="s">
        <v>67</v>
      </c>
    </row>
    <row r="4" spans="1:26" ht="19.5" customHeight="1" x14ac:dyDescent="0.2">
      <c r="A4" s="20"/>
      <c r="B4" s="18"/>
      <c r="C4" s="18"/>
      <c r="D4" s="37"/>
      <c r="E4" s="38" t="str">
        <f t="shared" ref="E4:E33" si="0">IF(D4="","",D4-90)</f>
        <v/>
      </c>
      <c r="F4" s="38" t="str">
        <f t="shared" ref="F4:F33" si="1">IF(D4="","",D4-60)</f>
        <v/>
      </c>
      <c r="G4" s="38" t="str">
        <f t="shared" ref="G4:G33" si="2">IF(D4="","",D4-30)</f>
        <v/>
      </c>
      <c r="H4" s="39"/>
      <c r="I4" s="19"/>
      <c r="J4" s="40" t="str">
        <f t="shared" si="3" ref="J4:J33">IF(I4="","",IF(ABS(N4-V4)&lt;=ABS(M4-V4),IF(ABS(N4-V4)&lt;=ABS(O4-V4),"Offer 2","Offer 3"),IF(ABS(M4-V4)&lt;=ABS(O4-V4),"Offer 1","Offer 3")))</f>
      </c>
      <c r="K4" s="78"/>
      <c r="L4" s="41" t="str">
        <f t="shared" si="10" ref="L4:L33">IF(OR(I4="",K4=""),"",CEILING(I4*(1+K4),5))</f>
      </c>
      <c r="M4" s="41" t="str">
        <f t="shared" si="4" ref="M4:M33">IF(I4="","",IF(W4="Under",CEILING(MAX(I4*1.02,MIN(U4,V4)*0.95),5),CEILING(MAX(I4*1.03,MIN(U4,V4)*0.97),5)))</f>
      </c>
      <c r="N4" s="41" t="str">
        <f t="shared" si="5" ref="N4:N33">IF(I4="","",IF(W4="Under",CEILING(MAX(I4*1.03,(U4+V4)/2*0.96),5),CEILING(MAX(I4*1.05,(U4+V4)/2*0.98),5)))</f>
      </c>
      <c r="O4" s="41" t="str">
        <f t="shared" si="6" ref="O4:O33">IF(I4="","",IF(W4="Under",CEILING(MAX(I4*1.05,MIN(U4,V4*1.01)),5),CEILING(MAX(I4*1.08,MIN(U4,V4*1.02)),5)))</f>
      </c>
      <c r="P4" s="18"/>
      <c r="Q4" s="18"/>
      <c r="R4" s="18"/>
      <c r="S4" s="18"/>
      <c r="T4" s="18"/>
      <c r="U4" s="41" t="str">
        <f>IF(C4="","",IFERROR(VLOOKUP(C4,SETUP!$A$9:$D$18,2,0),"⚠ Check SETUP"))</f>
      </c>
      <c r="V4" s="41" t="str">
        <f>IF(C4="","",IFERROR(VLOOKUP(C4,SETUP!$A$9:$D$18,3,0),"⚠ Check SETUP"))</f>
      </c>
      <c r="W4" s="40" t="str">
        <f>IF(C4="","",IFERROR(VLOOKUP(C4,SETUP!$A$9:$D$18,4,0),"⚠ Check SETUP"))</f>
      </c>
      <c r="X4" s="42" t="str">
        <f t="shared" si="7" ref="X4:X33">IF(OR(I4="",M4=""),"",(M4-I4)/I4)</f>
      </c>
      <c r="Y4" s="42" t="str">
        <f t="shared" si="8" ref="Y4:Y33">IF(OR(I4="",N4=""),"",(N4-I4)/I4)</f>
      </c>
      <c r="Z4" s="42" t="str">
        <f t="shared" si="9" ref="Z4:Z33">IF(OR(I4="",O4=""),"",(O4-I4)/I4)</f>
      </c>
    </row>
    <row r="5" spans="1:26" ht="19.5" customHeight="1" x14ac:dyDescent="0.2">
      <c r="A5" s="20"/>
      <c r="B5" s="18"/>
      <c r="C5" s="18"/>
      <c r="D5" s="37"/>
      <c r="E5" s="38" t="str">
        <f t="shared" si="0"/>
        <v/>
      </c>
      <c r="F5" s="38" t="str">
        <f t="shared" si="1"/>
        <v/>
      </c>
      <c r="G5" s="38" t="str">
        <f t="shared" si="2"/>
        <v/>
      </c>
      <c r="H5" s="39"/>
      <c r="I5" s="19"/>
      <c r="J5" s="40" t="str">
        <f t="shared" si="3"/>
      </c>
      <c r="K5" s="78"/>
      <c r="L5" s="41" t="str">
        <f t="shared" si="10"/>
      </c>
      <c r="M5" s="41" t="str">
        <f t="shared" si="4"/>
      </c>
      <c r="N5" s="41" t="str">
        <f t="shared" si="5"/>
      </c>
      <c r="O5" s="41" t="str">
        <f t="shared" si="6"/>
      </c>
      <c r="P5" s="18"/>
      <c r="Q5" s="18"/>
      <c r="R5" s="18"/>
      <c r="S5" s="18"/>
      <c r="T5" s="18"/>
      <c r="U5" s="41" t="str">
        <f>IF(C5="","",IFERROR(VLOOKUP(C5,SETUP!$A$9:$D$18,2,0),"⚠ Check SETUP"))</f>
      </c>
      <c r="V5" s="41" t="str">
        <f>IF(C5="","",IFERROR(VLOOKUP(C5,SETUP!$A$9:$D$18,3,0),"⚠ Check SETUP"))</f>
      </c>
      <c r="W5" s="40" t="str">
        <f>IF(C5="","",IFERROR(VLOOKUP(C5,SETUP!$A$9:$D$18,4,0),"⚠ Check SETUP"))</f>
      </c>
      <c r="X5" s="42" t="str">
        <f t="shared" si="7"/>
      </c>
      <c r="Y5" s="42" t="str">
        <f t="shared" si="8"/>
      </c>
      <c r="Z5" s="42" t="str">
        <f t="shared" si="9"/>
      </c>
    </row>
    <row r="6" spans="1:26" ht="19.5" customHeight="1" x14ac:dyDescent="0.2">
      <c r="A6" s="20"/>
      <c r="B6" s="18"/>
      <c r="C6" s="18"/>
      <c r="D6" s="37"/>
      <c r="E6" s="38" t="str">
        <f t="shared" si="0"/>
        <v/>
      </c>
      <c r="F6" s="38" t="str">
        <f t="shared" si="1"/>
        <v/>
      </c>
      <c r="G6" s="38" t="str">
        <f t="shared" si="2"/>
        <v/>
      </c>
      <c r="H6" s="39"/>
      <c r="I6" s="19"/>
      <c r="J6" s="40" t="str">
        <f t="shared" si="3"/>
      </c>
      <c r="K6" s="78"/>
      <c r="L6" s="41" t="str">
        <f t="shared" si="10"/>
      </c>
      <c r="M6" s="41" t="str">
        <f t="shared" si="4"/>
      </c>
      <c r="N6" s="41" t="str">
        <f t="shared" si="5"/>
      </c>
      <c r="O6" s="41" t="str">
        <f t="shared" si="6"/>
      </c>
      <c r="P6" s="18"/>
      <c r="Q6" s="18"/>
      <c r="R6" s="18"/>
      <c r="S6" s="18"/>
      <c r="T6" s="18"/>
      <c r="U6" s="41" t="str">
        <f>IF(C6="","",IFERROR(VLOOKUP(C6,SETUP!$A$9:$D$18,2,0),"⚠ Check SETUP"))</f>
      </c>
      <c r="V6" s="41" t="str">
        <f>IF(C6="","",IFERROR(VLOOKUP(C6,SETUP!$A$9:$D$18,3,0),"⚠ Check SETUP"))</f>
      </c>
      <c r="W6" s="40" t="str">
        <f>IF(C6="","",IFERROR(VLOOKUP(C6,SETUP!$A$9:$D$18,4,0),"⚠ Check SETUP"))</f>
      </c>
      <c r="X6" s="42" t="str">
        <f t="shared" si="7"/>
      </c>
      <c r="Y6" s="42" t="str">
        <f t="shared" si="8"/>
      </c>
      <c r="Z6" s="42" t="str">
        <f t="shared" si="9"/>
      </c>
    </row>
    <row r="7" spans="1:26" ht="19.5" customHeight="1" x14ac:dyDescent="0.2">
      <c r="A7" s="20"/>
      <c r="B7" s="18"/>
      <c r="C7" s="18"/>
      <c r="D7" s="37"/>
      <c r="E7" s="38" t="str">
        <f t="shared" si="0"/>
        <v/>
      </c>
      <c r="F7" s="38" t="str">
        <f t="shared" si="1"/>
        <v/>
      </c>
      <c r="G7" s="38" t="str">
        <f t="shared" si="2"/>
        <v/>
      </c>
      <c r="H7" s="39"/>
      <c r="I7" s="19"/>
      <c r="J7" s="40" t="str">
        <f t="shared" si="3"/>
      </c>
      <c r="K7" s="78"/>
      <c r="L7" s="41" t="str">
        <f t="shared" si="10"/>
      </c>
      <c r="M7" s="41" t="str">
        <f t="shared" si="4"/>
      </c>
      <c r="N7" s="41" t="str">
        <f t="shared" si="5"/>
      </c>
      <c r="O7" s="41" t="str">
        <f t="shared" si="6"/>
      </c>
      <c r="P7" s="18"/>
      <c r="Q7" s="18"/>
      <c r="R7" s="18"/>
      <c r="S7" s="18"/>
      <c r="T7" s="18"/>
      <c r="U7" s="41" t="str">
        <f>IF(C7="","",IFERROR(VLOOKUP(C7,SETUP!$A$9:$D$18,2,0),"⚠ Check SETUP"))</f>
      </c>
      <c r="V7" s="41" t="str">
        <f>IF(C7="","",IFERROR(VLOOKUP(C7,SETUP!$A$9:$D$18,3,0),"⚠ Check SETUP"))</f>
      </c>
      <c r="W7" s="40" t="str">
        <f>IF(C7="","",IFERROR(VLOOKUP(C7,SETUP!$A$9:$D$18,4,0),"⚠ Check SETUP"))</f>
      </c>
      <c r="X7" s="42" t="str">
        <f t="shared" si="7"/>
      </c>
      <c r="Y7" s="42" t="str">
        <f t="shared" si="8"/>
      </c>
      <c r="Z7" s="42" t="str">
        <f t="shared" si="9"/>
      </c>
    </row>
    <row r="8" spans="1:26" ht="19.5" customHeight="1" x14ac:dyDescent="0.2">
      <c r="A8" s="20"/>
      <c r="B8" s="18"/>
      <c r="C8" s="18"/>
      <c r="D8" s="37"/>
      <c r="E8" s="38" t="str">
        <f t="shared" si="0"/>
        <v/>
      </c>
      <c r="F8" s="38" t="str">
        <f t="shared" si="1"/>
        <v/>
      </c>
      <c r="G8" s="38" t="str">
        <f t="shared" si="2"/>
        <v/>
      </c>
      <c r="H8" s="39"/>
      <c r="I8" s="19"/>
      <c r="J8" s="40" t="str">
        <f t="shared" si="3"/>
      </c>
      <c r="K8" s="78"/>
      <c r="L8" s="41" t="str">
        <f t="shared" si="10"/>
      </c>
      <c r="M8" s="41" t="str">
        <f t="shared" si="4"/>
      </c>
      <c r="N8" s="41" t="str">
        <f t="shared" si="5"/>
      </c>
      <c r="O8" s="41" t="str">
        <f t="shared" si="6"/>
      </c>
      <c r="P8" s="18"/>
      <c r="Q8" s="18"/>
      <c r="R8" s="18"/>
      <c r="S8" s="18"/>
      <c r="T8" s="18"/>
      <c r="U8" s="41" t="str">
        <f>IF(C8="","",IFERROR(VLOOKUP(C8,SETUP!$A$9:$D$18,2,0),"⚠ Check SETUP"))</f>
      </c>
      <c r="V8" s="41" t="str">
        <f>IF(C8="","",IFERROR(VLOOKUP(C8,SETUP!$A$9:$D$18,3,0),"⚠ Check SETUP"))</f>
      </c>
      <c r="W8" s="40" t="str">
        <f>IF(C8="","",IFERROR(VLOOKUP(C8,SETUP!$A$9:$D$18,4,0),"⚠ Check SETUP"))</f>
      </c>
      <c r="X8" s="42" t="str">
        <f t="shared" si="7"/>
      </c>
      <c r="Y8" s="42" t="str">
        <f t="shared" si="8"/>
      </c>
      <c r="Z8" s="42" t="str">
        <f t="shared" si="9"/>
      </c>
    </row>
    <row r="9" spans="1:26" ht="19.5" customHeight="1" x14ac:dyDescent="0.2">
      <c r="A9" s="20"/>
      <c r="B9" s="18"/>
      <c r="C9" s="18"/>
      <c r="D9" s="37"/>
      <c r="E9" s="38" t="str">
        <f t="shared" si="0"/>
        <v/>
      </c>
      <c r="F9" s="38" t="str">
        <f t="shared" si="1"/>
        <v/>
      </c>
      <c r="G9" s="38" t="str">
        <f t="shared" si="2"/>
        <v/>
      </c>
      <c r="H9" s="39"/>
      <c r="I9" s="19"/>
      <c r="J9" s="40" t="str">
        <f t="shared" si="3"/>
      </c>
      <c r="K9" s="78"/>
      <c r="L9" s="41" t="str">
        <f t="shared" si="10"/>
      </c>
      <c r="M9" s="41" t="str">
        <f t="shared" si="4"/>
      </c>
      <c r="N9" s="41" t="str">
        <f t="shared" si="5"/>
      </c>
      <c r="O9" s="41" t="str">
        <f t="shared" si="6"/>
      </c>
      <c r="P9" s="18"/>
      <c r="Q9" s="18"/>
      <c r="R9" s="18"/>
      <c r="S9" s="18"/>
      <c r="T9" s="18"/>
      <c r="U9" s="41" t="str">
        <f>IF(C9="","",IFERROR(VLOOKUP(C9,SETUP!$A$9:$D$18,2,0),"⚠ Check SETUP"))</f>
      </c>
      <c r="V9" s="41" t="str">
        <f>IF(C9="","",IFERROR(VLOOKUP(C9,SETUP!$A$9:$D$18,3,0),"⚠ Check SETUP"))</f>
      </c>
      <c r="W9" s="40" t="str">
        <f>IF(C9="","",IFERROR(VLOOKUP(C9,SETUP!$A$9:$D$18,4,0),"⚠ Check SETUP"))</f>
      </c>
      <c r="X9" s="42" t="str">
        <f t="shared" si="7"/>
      </c>
      <c r="Y9" s="42" t="str">
        <f t="shared" si="8"/>
      </c>
      <c r="Z9" s="42" t="str">
        <f t="shared" si="9"/>
      </c>
    </row>
    <row r="10" spans="1:26" ht="19.5" customHeight="1" x14ac:dyDescent="0.2">
      <c r="A10" s="20"/>
      <c r="B10" s="18"/>
      <c r="C10" s="18"/>
      <c r="D10" s="37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39"/>
      <c r="I10" s="19"/>
      <c r="J10" s="40" t="str">
        <f t="shared" si="3"/>
      </c>
      <c r="K10" s="78"/>
      <c r="L10" s="41" t="str">
        <f t="shared" si="10"/>
      </c>
      <c r="M10" s="41" t="str">
        <f t="shared" si="4"/>
      </c>
      <c r="N10" s="41" t="str">
        <f t="shared" si="5"/>
      </c>
      <c r="O10" s="41" t="str">
        <f t="shared" si="6"/>
      </c>
      <c r="P10" s="18"/>
      <c r="Q10" s="18"/>
      <c r="R10" s="18"/>
      <c r="S10" s="18"/>
      <c r="T10" s="18"/>
      <c r="U10" s="41" t="str">
        <f>IF(C10="","",IFERROR(VLOOKUP(C10,SETUP!$A$9:$D$18,2,0),"⚠ Check SETUP"))</f>
      </c>
      <c r="V10" s="41" t="str">
        <f>IF(C10="","",IFERROR(VLOOKUP(C10,SETUP!$A$9:$D$18,3,0),"⚠ Check SETUP"))</f>
      </c>
      <c r="W10" s="40" t="str">
        <f>IF(C10="","",IFERROR(VLOOKUP(C10,SETUP!$A$9:$D$18,4,0),"⚠ Check SETUP"))</f>
      </c>
      <c r="X10" s="42" t="str">
        <f t="shared" si="7"/>
      </c>
      <c r="Y10" s="42" t="str">
        <f t="shared" si="8"/>
      </c>
      <c r="Z10" s="42" t="str">
        <f t="shared" si="9"/>
      </c>
    </row>
    <row r="11" spans="1:26" ht="19.5" customHeight="1" x14ac:dyDescent="0.2">
      <c r="A11" s="20"/>
      <c r="B11" s="18"/>
      <c r="C11" s="18"/>
      <c r="D11" s="37"/>
      <c r="E11" s="38" t="str">
        <f t="shared" si="0"/>
        <v/>
      </c>
      <c r="F11" s="38" t="str">
        <f t="shared" si="1"/>
        <v/>
      </c>
      <c r="G11" s="38" t="str">
        <f t="shared" si="2"/>
        <v/>
      </c>
      <c r="H11" s="39"/>
      <c r="I11" s="19"/>
      <c r="J11" s="40" t="str">
        <f t="shared" si="3"/>
      </c>
      <c r="K11" s="78"/>
      <c r="L11" s="41" t="str">
        <f t="shared" si="10"/>
      </c>
      <c r="M11" s="41" t="str">
        <f t="shared" si="4"/>
      </c>
      <c r="N11" s="41" t="str">
        <f t="shared" si="5"/>
      </c>
      <c r="O11" s="41" t="str">
        <f t="shared" si="6"/>
      </c>
      <c r="P11" s="18"/>
      <c r="Q11" s="18"/>
      <c r="R11" s="18"/>
      <c r="S11" s="18"/>
      <c r="T11" s="18"/>
      <c r="U11" s="41" t="str">
        <f>IF(C11="","",IFERROR(VLOOKUP(C11,SETUP!$A$9:$D$18,2,0),"⚠ Check SETUP"))</f>
      </c>
      <c r="V11" s="41" t="str">
        <f>IF(C11="","",IFERROR(VLOOKUP(C11,SETUP!$A$9:$D$18,3,0),"⚠ Check SETUP"))</f>
      </c>
      <c r="W11" s="40" t="str">
        <f>IF(C11="","",IFERROR(VLOOKUP(C11,SETUP!$A$9:$D$18,4,0),"⚠ Check SETUP"))</f>
      </c>
      <c r="X11" s="42" t="str">
        <f t="shared" si="7"/>
      </c>
      <c r="Y11" s="42" t="str">
        <f t="shared" si="8"/>
      </c>
      <c r="Z11" s="42" t="str">
        <f t="shared" si="9"/>
      </c>
    </row>
    <row r="12" spans="1:26" ht="19.5" customHeight="1" x14ac:dyDescent="0.2">
      <c r="A12" s="20"/>
      <c r="B12" s="18"/>
      <c r="C12" s="18"/>
      <c r="D12" s="37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39"/>
      <c r="I12" s="19"/>
      <c r="J12" s="40" t="str">
        <f t="shared" si="3"/>
      </c>
      <c r="K12" s="78"/>
      <c r="L12" s="41" t="str">
        <f t="shared" si="10"/>
      </c>
      <c r="M12" s="41" t="str">
        <f t="shared" si="4"/>
      </c>
      <c r="N12" s="41" t="str">
        <f t="shared" si="5"/>
      </c>
      <c r="O12" s="41" t="str">
        <f t="shared" si="6"/>
      </c>
      <c r="P12" s="18"/>
      <c r="Q12" s="18"/>
      <c r="R12" s="18"/>
      <c r="S12" s="18"/>
      <c r="T12" s="18"/>
      <c r="U12" s="41" t="str">
        <f>IF(C12="","",IFERROR(VLOOKUP(C12,SETUP!$A$9:$D$18,2,0),"⚠ Check SETUP"))</f>
      </c>
      <c r="V12" s="41" t="str">
        <f>IF(C12="","",IFERROR(VLOOKUP(C12,SETUP!$A$9:$D$18,3,0),"⚠ Check SETUP"))</f>
      </c>
      <c r="W12" s="40" t="str">
        <f>IF(C12="","",IFERROR(VLOOKUP(C12,SETUP!$A$9:$D$18,4,0),"⚠ Check SETUP"))</f>
      </c>
      <c r="X12" s="42" t="str">
        <f t="shared" si="7"/>
      </c>
      <c r="Y12" s="42" t="str">
        <f t="shared" si="8"/>
      </c>
      <c r="Z12" s="42" t="str">
        <f t="shared" si="9"/>
      </c>
    </row>
    <row r="13" spans="1:26" ht="19.5" customHeight="1" x14ac:dyDescent="0.2">
      <c r="A13" s="20"/>
      <c r="B13" s="18"/>
      <c r="C13" s="18"/>
      <c r="D13" s="37"/>
      <c r="E13" s="38" t="str">
        <f t="shared" si="0"/>
        <v/>
      </c>
      <c r="F13" s="38" t="str">
        <f t="shared" si="1"/>
        <v/>
      </c>
      <c r="G13" s="38" t="str">
        <f t="shared" si="2"/>
        <v/>
      </c>
      <c r="H13" s="39"/>
      <c r="I13" s="19"/>
      <c r="J13" s="40" t="str">
        <f t="shared" si="3"/>
      </c>
      <c r="K13" s="78"/>
      <c r="L13" s="41" t="str">
        <f t="shared" si="10"/>
      </c>
      <c r="M13" s="41" t="str">
        <f t="shared" si="4"/>
      </c>
      <c r="N13" s="41" t="str">
        <f t="shared" si="5"/>
      </c>
      <c r="O13" s="41" t="str">
        <f t="shared" si="6"/>
      </c>
      <c r="P13" s="18"/>
      <c r="Q13" s="18"/>
      <c r="R13" s="18"/>
      <c r="S13" s="18"/>
      <c r="T13" s="18"/>
      <c r="U13" s="41" t="str">
        <f>IF(C13="","",IFERROR(VLOOKUP(C13,SETUP!$A$9:$D$18,2,0),"⚠ Check SETUP"))</f>
      </c>
      <c r="V13" s="41" t="str">
        <f>IF(C13="","",IFERROR(VLOOKUP(C13,SETUP!$A$9:$D$18,3,0),"⚠ Check SETUP"))</f>
      </c>
      <c r="W13" s="40" t="str">
        <f>IF(C13="","",IFERROR(VLOOKUP(C13,SETUP!$A$9:$D$18,4,0),"⚠ Check SETUP"))</f>
      </c>
      <c r="X13" s="42" t="str">
        <f t="shared" si="7"/>
      </c>
      <c r="Y13" s="42" t="str">
        <f t="shared" si="8"/>
      </c>
      <c r="Z13" s="42" t="str">
        <f t="shared" si="9"/>
      </c>
    </row>
    <row r="14" spans="1:26" ht="19.5" customHeight="1" x14ac:dyDescent="0.2">
      <c r="A14" s="20"/>
      <c r="B14" s="18"/>
      <c r="C14" s="18"/>
      <c r="D14" s="37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39"/>
      <c r="I14" s="19"/>
      <c r="J14" s="40" t="str">
        <f t="shared" si="3"/>
      </c>
      <c r="K14" s="78"/>
      <c r="L14" s="41" t="str">
        <f t="shared" si="10"/>
      </c>
      <c r="M14" s="41" t="str">
        <f t="shared" si="4"/>
      </c>
      <c r="N14" s="41" t="str">
        <f t="shared" si="5"/>
      </c>
      <c r="O14" s="41" t="str">
        <f t="shared" si="6"/>
      </c>
      <c r="P14" s="18"/>
      <c r="Q14" s="18"/>
      <c r="R14" s="18"/>
      <c r="S14" s="18"/>
      <c r="T14" s="18"/>
      <c r="U14" s="41" t="str">
        <f>IF(C14="","",IFERROR(VLOOKUP(C14,SETUP!$A$9:$D$18,2,0),"⚠ Check SETUP"))</f>
      </c>
      <c r="V14" s="41" t="str">
        <f>IF(C14="","",IFERROR(VLOOKUP(C14,SETUP!$A$9:$D$18,3,0),"⚠ Check SETUP"))</f>
      </c>
      <c r="W14" s="40" t="str">
        <f>IF(C14="","",IFERROR(VLOOKUP(C14,SETUP!$A$9:$D$18,4,0),"⚠ Check SETUP"))</f>
      </c>
      <c r="X14" s="42" t="str">
        <f t="shared" si="7"/>
      </c>
      <c r="Y14" s="42" t="str">
        <f t="shared" si="8"/>
      </c>
      <c r="Z14" s="42" t="str">
        <f t="shared" si="9"/>
      </c>
    </row>
    <row r="15" spans="1:26" ht="19.5" customHeight="1" x14ac:dyDescent="0.2">
      <c r="A15" s="20"/>
      <c r="B15" s="18"/>
      <c r="C15" s="18"/>
      <c r="D15" s="37"/>
      <c r="E15" s="38" t="str">
        <f t="shared" si="0"/>
        <v/>
      </c>
      <c r="F15" s="38" t="str">
        <f t="shared" si="1"/>
        <v/>
      </c>
      <c r="G15" s="38" t="str">
        <f t="shared" si="2"/>
        <v/>
      </c>
      <c r="H15" s="39"/>
      <c r="I15" s="19"/>
      <c r="J15" s="40" t="str">
        <f t="shared" si="3"/>
      </c>
      <c r="K15" s="78"/>
      <c r="L15" s="41" t="str">
        <f t="shared" si="10"/>
      </c>
      <c r="M15" s="41" t="str">
        <f t="shared" si="4"/>
      </c>
      <c r="N15" s="41" t="str">
        <f t="shared" si="5"/>
      </c>
      <c r="O15" s="41" t="str">
        <f t="shared" si="6"/>
      </c>
      <c r="P15" s="18"/>
      <c r="Q15" s="18"/>
      <c r="R15" s="18"/>
      <c r="S15" s="18"/>
      <c r="T15" s="18"/>
      <c r="U15" s="41" t="str">
        <f>IF(C15="","",IFERROR(VLOOKUP(C15,SETUP!$A$9:$D$18,2,0),"⚠ Check SETUP"))</f>
      </c>
      <c r="V15" s="41" t="str">
        <f>IF(C15="","",IFERROR(VLOOKUP(C15,SETUP!$A$9:$D$18,3,0),"⚠ Check SETUP"))</f>
      </c>
      <c r="W15" s="40" t="str">
        <f>IF(C15="","",IFERROR(VLOOKUP(C15,SETUP!$A$9:$D$18,4,0),"⚠ Check SETUP"))</f>
      </c>
      <c r="X15" s="42" t="str">
        <f t="shared" si="7"/>
      </c>
      <c r="Y15" s="42" t="str">
        <f t="shared" si="8"/>
      </c>
      <c r="Z15" s="42" t="str">
        <f t="shared" si="9"/>
      </c>
    </row>
    <row r="16" spans="1:26" ht="19.5" customHeight="1" x14ac:dyDescent="0.2">
      <c r="A16" s="20"/>
      <c r="B16" s="18"/>
      <c r="C16" s="18"/>
      <c r="D16" s="37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39"/>
      <c r="I16" s="19"/>
      <c r="J16" s="40" t="str">
        <f t="shared" si="3"/>
      </c>
      <c r="K16" s="78"/>
      <c r="L16" s="41" t="str">
        <f t="shared" si="10"/>
      </c>
      <c r="M16" s="41" t="str">
        <f t="shared" si="4"/>
      </c>
      <c r="N16" s="41" t="str">
        <f t="shared" si="5"/>
      </c>
      <c r="O16" s="41" t="str">
        <f t="shared" si="6"/>
      </c>
      <c r="P16" s="18"/>
      <c r="Q16" s="18"/>
      <c r="R16" s="18"/>
      <c r="S16" s="18"/>
      <c r="T16" s="18"/>
      <c r="U16" s="41" t="str">
        <f>IF(C16="","",IFERROR(VLOOKUP(C16,SETUP!$A$9:$D$18,2,0),"⚠ Check SETUP"))</f>
      </c>
      <c r="V16" s="41" t="str">
        <f>IF(C16="","",IFERROR(VLOOKUP(C16,SETUP!$A$9:$D$18,3,0),"⚠ Check SETUP"))</f>
      </c>
      <c r="W16" s="40" t="str">
        <f>IF(C16="","",IFERROR(VLOOKUP(C16,SETUP!$A$9:$D$18,4,0),"⚠ Check SETUP"))</f>
      </c>
      <c r="X16" s="42" t="str">
        <f t="shared" si="7"/>
      </c>
      <c r="Y16" s="42" t="str">
        <f t="shared" si="8"/>
      </c>
      <c r="Z16" s="42" t="str">
        <f t="shared" si="9"/>
      </c>
    </row>
    <row r="17" spans="1:26" ht="19.5" customHeight="1" x14ac:dyDescent="0.2">
      <c r="A17" s="20"/>
      <c r="B17" s="18"/>
      <c r="C17" s="18"/>
      <c r="D17" s="37"/>
      <c r="E17" s="38" t="str">
        <f t="shared" si="0"/>
        <v/>
      </c>
      <c r="F17" s="38" t="str">
        <f t="shared" si="1"/>
        <v/>
      </c>
      <c r="G17" s="38" t="str">
        <f t="shared" si="2"/>
        <v/>
      </c>
      <c r="H17" s="39"/>
      <c r="I17" s="19"/>
      <c r="J17" s="40" t="str">
        <f t="shared" si="3"/>
      </c>
      <c r="K17" s="78"/>
      <c r="L17" s="41" t="str">
        <f t="shared" si="10"/>
      </c>
      <c r="M17" s="41" t="str">
        <f t="shared" si="4"/>
      </c>
      <c r="N17" s="41" t="str">
        <f t="shared" si="5"/>
      </c>
      <c r="O17" s="41" t="str">
        <f t="shared" si="6"/>
      </c>
      <c r="P17" s="18"/>
      <c r="Q17" s="18"/>
      <c r="R17" s="18"/>
      <c r="S17" s="18"/>
      <c r="T17" s="18"/>
      <c r="U17" s="41" t="str">
        <f>IF(C17="","",IFERROR(VLOOKUP(C17,SETUP!$A$9:$D$18,2,0),"⚠ Check SETUP"))</f>
      </c>
      <c r="V17" s="41" t="str">
        <f>IF(C17="","",IFERROR(VLOOKUP(C17,SETUP!$A$9:$D$18,3,0),"⚠ Check SETUP"))</f>
      </c>
      <c r="W17" s="40" t="str">
        <f>IF(C17="","",IFERROR(VLOOKUP(C17,SETUP!$A$9:$D$18,4,0),"⚠ Check SETUP"))</f>
      </c>
      <c r="X17" s="42" t="str">
        <f t="shared" si="7"/>
      </c>
      <c r="Y17" s="42" t="str">
        <f t="shared" si="8"/>
      </c>
      <c r="Z17" s="42" t="str">
        <f t="shared" si="9"/>
      </c>
    </row>
    <row r="18" spans="1:26" ht="19.5" customHeight="1" x14ac:dyDescent="0.2">
      <c r="A18" s="20"/>
      <c r="B18" s="18"/>
      <c r="C18" s="18"/>
      <c r="D18" s="37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39"/>
      <c r="I18" s="19"/>
      <c r="J18" s="40" t="str">
        <f t="shared" si="3"/>
      </c>
      <c r="K18" s="78"/>
      <c r="L18" s="41" t="str">
        <f t="shared" si="10"/>
      </c>
      <c r="M18" s="41" t="str">
        <f t="shared" si="4"/>
      </c>
      <c r="N18" s="41" t="str">
        <f t="shared" si="5"/>
      </c>
      <c r="O18" s="41" t="str">
        <f t="shared" si="6"/>
      </c>
      <c r="P18" s="18"/>
      <c r="Q18" s="18"/>
      <c r="R18" s="18"/>
      <c r="S18" s="18"/>
      <c r="T18" s="18"/>
      <c r="U18" s="41" t="str">
        <f>IF(C18="","",IFERROR(VLOOKUP(C18,SETUP!$A$9:$D$18,2,0),"⚠ Check SETUP"))</f>
      </c>
      <c r="V18" s="41" t="str">
        <f>IF(C18="","",IFERROR(VLOOKUP(C18,SETUP!$A$9:$D$18,3,0),"⚠ Check SETUP"))</f>
      </c>
      <c r="W18" s="40" t="str">
        <f>IF(C18="","",IFERROR(VLOOKUP(C18,SETUP!$A$9:$D$18,4,0),"⚠ Check SETUP"))</f>
      </c>
      <c r="X18" s="42" t="str">
        <f t="shared" si="7"/>
      </c>
      <c r="Y18" s="42" t="str">
        <f t="shared" si="8"/>
      </c>
      <c r="Z18" s="42" t="str">
        <f t="shared" si="9"/>
      </c>
    </row>
    <row r="19" spans="1:26" ht="19.5" customHeight="1" x14ac:dyDescent="0.2">
      <c r="A19" s="20"/>
      <c r="B19" s="18"/>
      <c r="C19" s="18"/>
      <c r="D19" s="37"/>
      <c r="E19" s="38" t="str">
        <f t="shared" si="0"/>
        <v/>
      </c>
      <c r="F19" s="38" t="str">
        <f t="shared" si="1"/>
        <v/>
      </c>
      <c r="G19" s="38" t="str">
        <f t="shared" si="2"/>
        <v/>
      </c>
      <c r="H19" s="39"/>
      <c r="I19" s="19"/>
      <c r="J19" s="40" t="str">
        <f t="shared" si="3"/>
      </c>
      <c r="K19" s="78"/>
      <c r="L19" s="41" t="str">
        <f t="shared" si="10"/>
      </c>
      <c r="M19" s="41" t="str">
        <f t="shared" si="4"/>
      </c>
      <c r="N19" s="41" t="str">
        <f t="shared" si="5"/>
      </c>
      <c r="O19" s="41" t="str">
        <f t="shared" si="6"/>
      </c>
      <c r="P19" s="18"/>
      <c r="Q19" s="18"/>
      <c r="R19" s="18"/>
      <c r="S19" s="18"/>
      <c r="T19" s="18"/>
      <c r="U19" s="41" t="str">
        <f>IF(C19="","",IFERROR(VLOOKUP(C19,SETUP!$A$9:$D$18,2,0),"⚠ Check SETUP"))</f>
      </c>
      <c r="V19" s="41" t="str">
        <f>IF(C19="","",IFERROR(VLOOKUP(C19,SETUP!$A$9:$D$18,3,0),"⚠ Check SETUP"))</f>
      </c>
      <c r="W19" s="40" t="str">
        <f>IF(C19="","",IFERROR(VLOOKUP(C19,SETUP!$A$9:$D$18,4,0),"⚠ Check SETUP"))</f>
      </c>
      <c r="X19" s="42" t="str">
        <f t="shared" si="7"/>
      </c>
      <c r="Y19" s="42" t="str">
        <f t="shared" si="8"/>
      </c>
      <c r="Z19" s="42" t="str">
        <f t="shared" si="9"/>
      </c>
    </row>
    <row r="20" spans="1:26" ht="19.5" customHeight="1" x14ac:dyDescent="0.2">
      <c r="A20" s="20"/>
      <c r="B20" s="18"/>
      <c r="C20" s="18"/>
      <c r="D20" s="37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39"/>
      <c r="I20" s="19"/>
      <c r="J20" s="40" t="str">
        <f t="shared" si="3"/>
      </c>
      <c r="K20" s="78"/>
      <c r="L20" s="41" t="str">
        <f t="shared" si="10"/>
      </c>
      <c r="M20" s="41" t="str">
        <f t="shared" si="4"/>
      </c>
      <c r="N20" s="41" t="str">
        <f t="shared" si="5"/>
      </c>
      <c r="O20" s="41" t="str">
        <f t="shared" si="6"/>
      </c>
      <c r="P20" s="18"/>
      <c r="Q20" s="18"/>
      <c r="R20" s="18"/>
      <c r="S20" s="18"/>
      <c r="T20" s="18"/>
      <c r="U20" s="41" t="str">
        <f>IF(C20="","",IFERROR(VLOOKUP(C20,SETUP!$A$9:$D$18,2,0),"⚠ Check SETUP"))</f>
      </c>
      <c r="V20" s="41" t="str">
        <f>IF(C20="","",IFERROR(VLOOKUP(C20,SETUP!$A$9:$D$18,3,0),"⚠ Check SETUP"))</f>
      </c>
      <c r="W20" s="40" t="str">
        <f>IF(C20="","",IFERROR(VLOOKUP(C20,SETUP!$A$9:$D$18,4,0),"⚠ Check SETUP"))</f>
      </c>
      <c r="X20" s="42" t="str">
        <f t="shared" si="7"/>
      </c>
      <c r="Y20" s="42" t="str">
        <f t="shared" si="8"/>
      </c>
      <c r="Z20" s="42" t="str">
        <f t="shared" si="9"/>
      </c>
    </row>
    <row r="21" spans="1:26" ht="19.5" customHeight="1" x14ac:dyDescent="0.2">
      <c r="A21" s="20"/>
      <c r="B21" s="18"/>
      <c r="C21" s="18"/>
      <c r="D21" s="37"/>
      <c r="E21" s="38" t="str">
        <f t="shared" si="0"/>
        <v/>
      </c>
      <c r="F21" s="38" t="str">
        <f t="shared" si="1"/>
        <v/>
      </c>
      <c r="G21" s="38" t="str">
        <f t="shared" si="2"/>
        <v/>
      </c>
      <c r="H21" s="39"/>
      <c r="I21" s="19"/>
      <c r="J21" s="40" t="str">
        <f t="shared" si="3"/>
      </c>
      <c r="K21" s="78"/>
      <c r="L21" s="41" t="str">
        <f t="shared" si="10"/>
      </c>
      <c r="M21" s="41" t="str">
        <f t="shared" si="4"/>
      </c>
      <c r="N21" s="41" t="str">
        <f t="shared" si="5"/>
      </c>
      <c r="O21" s="41" t="str">
        <f t="shared" si="6"/>
      </c>
      <c r="P21" s="18"/>
      <c r="Q21" s="18"/>
      <c r="R21" s="18"/>
      <c r="S21" s="18"/>
      <c r="T21" s="18"/>
      <c r="U21" s="41" t="str">
        <f>IF(C21="","",IFERROR(VLOOKUP(C21,SETUP!$A$9:$D$18,2,0),"⚠ Check SETUP"))</f>
      </c>
      <c r="V21" s="41" t="str">
        <f>IF(C21="","",IFERROR(VLOOKUP(C21,SETUP!$A$9:$D$18,3,0),"⚠ Check SETUP"))</f>
      </c>
      <c r="W21" s="40" t="str">
        <f>IF(C21="","",IFERROR(VLOOKUP(C21,SETUP!$A$9:$D$18,4,0),"⚠ Check SETUP"))</f>
      </c>
      <c r="X21" s="42" t="str">
        <f t="shared" si="7"/>
      </c>
      <c r="Y21" s="42" t="str">
        <f t="shared" si="8"/>
      </c>
      <c r="Z21" s="42" t="str">
        <f t="shared" si="9"/>
      </c>
    </row>
    <row r="22" spans="1:26" ht="19.5" customHeight="1" x14ac:dyDescent="0.2">
      <c r="A22" s="20"/>
      <c r="B22" s="18"/>
      <c r="C22" s="18"/>
      <c r="D22" s="37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39"/>
      <c r="I22" s="19"/>
      <c r="J22" s="40" t="str">
        <f t="shared" si="3"/>
      </c>
      <c r="K22" s="78"/>
      <c r="L22" s="41" t="str">
        <f t="shared" si="10"/>
      </c>
      <c r="M22" s="41" t="str">
        <f t="shared" si="4"/>
      </c>
      <c r="N22" s="41" t="str">
        <f t="shared" si="5"/>
      </c>
      <c r="O22" s="41" t="str">
        <f t="shared" si="6"/>
      </c>
      <c r="P22" s="18"/>
      <c r="Q22" s="18"/>
      <c r="R22" s="18"/>
      <c r="S22" s="18"/>
      <c r="T22" s="18"/>
      <c r="U22" s="41" t="str">
        <f>IF(C22="","",IFERROR(VLOOKUP(C22,SETUP!$A$9:$D$18,2,0),"⚠ Check SETUP"))</f>
      </c>
      <c r="V22" s="41" t="str">
        <f>IF(C22="","",IFERROR(VLOOKUP(C22,SETUP!$A$9:$D$18,3,0),"⚠ Check SETUP"))</f>
      </c>
      <c r="W22" s="40" t="str">
        <f>IF(C22="","",IFERROR(VLOOKUP(C22,SETUP!$A$9:$D$18,4,0),"⚠ Check SETUP"))</f>
      </c>
      <c r="X22" s="42" t="str">
        <f t="shared" si="7"/>
      </c>
      <c r="Y22" s="42" t="str">
        <f t="shared" si="8"/>
      </c>
      <c r="Z22" s="42" t="str">
        <f t="shared" si="9"/>
      </c>
    </row>
    <row r="23" spans="1:26" ht="19.5" customHeight="1" x14ac:dyDescent="0.2">
      <c r="A23" s="20"/>
      <c r="B23" s="18"/>
      <c r="C23" s="18"/>
      <c r="D23" s="37"/>
      <c r="E23" s="38" t="str">
        <f t="shared" si="0"/>
        <v/>
      </c>
      <c r="F23" s="38" t="str">
        <f t="shared" si="1"/>
        <v/>
      </c>
      <c r="G23" s="38" t="str">
        <f t="shared" si="2"/>
        <v/>
      </c>
      <c r="H23" s="39"/>
      <c r="I23" s="19"/>
      <c r="J23" s="40" t="str">
        <f t="shared" si="3"/>
      </c>
      <c r="K23" s="78"/>
      <c r="L23" s="41" t="str">
        <f t="shared" si="10"/>
      </c>
      <c r="M23" s="41" t="str">
        <f t="shared" si="4"/>
      </c>
      <c r="N23" s="41" t="str">
        <f t="shared" si="5"/>
      </c>
      <c r="O23" s="41" t="str">
        <f t="shared" si="6"/>
      </c>
      <c r="P23" s="18"/>
      <c r="Q23" s="18"/>
      <c r="R23" s="18"/>
      <c r="S23" s="18"/>
      <c r="T23" s="18"/>
      <c r="U23" s="41" t="str">
        <f>IF(C23="","",IFERROR(VLOOKUP(C23,SETUP!$A$9:$D$18,2,0),"⚠ Check SETUP"))</f>
      </c>
      <c r="V23" s="41" t="str">
        <f>IF(C23="","",IFERROR(VLOOKUP(C23,SETUP!$A$9:$D$18,3,0),"⚠ Check SETUP"))</f>
      </c>
      <c r="W23" s="40" t="str">
        <f>IF(C23="","",IFERROR(VLOOKUP(C23,SETUP!$A$9:$D$18,4,0),"⚠ Check SETUP"))</f>
      </c>
      <c r="X23" s="42" t="str">
        <f t="shared" si="7"/>
      </c>
      <c r="Y23" s="42" t="str">
        <f t="shared" si="8"/>
      </c>
      <c r="Z23" s="42" t="str">
        <f t="shared" si="9"/>
      </c>
    </row>
    <row r="24" spans="1:26" ht="19.5" customHeight="1" x14ac:dyDescent="0.2">
      <c r="A24" s="20"/>
      <c r="B24" s="18"/>
      <c r="C24" s="18"/>
      <c r="D24" s="37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39"/>
      <c r="I24" s="19"/>
      <c r="J24" s="40" t="str">
        <f t="shared" si="3"/>
      </c>
      <c r="K24" s="78"/>
      <c r="L24" s="41" t="str">
        <f t="shared" si="10"/>
      </c>
      <c r="M24" s="41" t="str">
        <f t="shared" si="4"/>
      </c>
      <c r="N24" s="41" t="str">
        <f t="shared" si="5"/>
      </c>
      <c r="O24" s="41" t="str">
        <f t="shared" si="6"/>
      </c>
      <c r="P24" s="18"/>
      <c r="Q24" s="18"/>
      <c r="R24" s="18"/>
      <c r="S24" s="18"/>
      <c r="T24" s="18"/>
      <c r="U24" s="41" t="str">
        <f>IF(C24="","",IFERROR(VLOOKUP(C24,SETUP!$A$9:$D$18,2,0),"⚠ Check SETUP"))</f>
      </c>
      <c r="V24" s="41" t="str">
        <f>IF(C24="","",IFERROR(VLOOKUP(C24,SETUP!$A$9:$D$18,3,0),"⚠ Check SETUP"))</f>
      </c>
      <c r="W24" s="40" t="str">
        <f>IF(C24="","",IFERROR(VLOOKUP(C24,SETUP!$A$9:$D$18,4,0),"⚠ Check SETUP"))</f>
      </c>
      <c r="X24" s="42" t="str">
        <f t="shared" si="7"/>
      </c>
      <c r="Y24" s="42" t="str">
        <f t="shared" si="8"/>
      </c>
      <c r="Z24" s="42" t="str">
        <f t="shared" si="9"/>
      </c>
    </row>
    <row r="25" spans="1:26" ht="19.5" customHeight="1" x14ac:dyDescent="0.2">
      <c r="A25" s="20"/>
      <c r="B25" s="18"/>
      <c r="C25" s="18"/>
      <c r="D25" s="37"/>
      <c r="E25" s="38" t="str">
        <f t="shared" si="0"/>
        <v/>
      </c>
      <c r="F25" s="38" t="str">
        <f t="shared" si="1"/>
        <v/>
      </c>
      <c r="G25" s="38" t="str">
        <f t="shared" si="2"/>
        <v/>
      </c>
      <c r="H25" s="39"/>
      <c r="I25" s="19"/>
      <c r="J25" s="40" t="str">
        <f t="shared" si="3"/>
      </c>
      <c r="K25" s="78"/>
      <c r="L25" s="41" t="str">
        <f t="shared" si="10"/>
      </c>
      <c r="M25" s="41" t="str">
        <f t="shared" si="4"/>
      </c>
      <c r="N25" s="41" t="str">
        <f t="shared" si="5"/>
      </c>
      <c r="O25" s="41" t="str">
        <f t="shared" si="6"/>
      </c>
      <c r="P25" s="18"/>
      <c r="Q25" s="18"/>
      <c r="R25" s="18"/>
      <c r="S25" s="18"/>
      <c r="T25" s="18"/>
      <c r="U25" s="41" t="str">
        <f>IF(C25="","",IFERROR(VLOOKUP(C25,SETUP!$A$9:$D$18,2,0),"⚠ Check SETUP"))</f>
      </c>
      <c r="V25" s="41" t="str">
        <f>IF(C25="","",IFERROR(VLOOKUP(C25,SETUP!$A$9:$D$18,3,0),"⚠ Check SETUP"))</f>
      </c>
      <c r="W25" s="40" t="str">
        <f>IF(C25="","",IFERROR(VLOOKUP(C25,SETUP!$A$9:$D$18,4,0),"⚠ Check SETUP"))</f>
      </c>
      <c r="X25" s="42" t="str">
        <f t="shared" si="7"/>
      </c>
      <c r="Y25" s="42" t="str">
        <f t="shared" si="8"/>
      </c>
      <c r="Z25" s="42" t="str">
        <f t="shared" si="9"/>
      </c>
    </row>
    <row r="26" spans="1:26" ht="19.5" customHeight="1" x14ac:dyDescent="0.2">
      <c r="A26" s="20"/>
      <c r="B26" s="18"/>
      <c r="C26" s="18"/>
      <c r="D26" s="37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39"/>
      <c r="I26" s="19"/>
      <c r="J26" s="40" t="str">
        <f t="shared" si="3"/>
      </c>
      <c r="K26" s="78"/>
      <c r="L26" s="41" t="str">
        <f t="shared" si="10"/>
      </c>
      <c r="M26" s="41" t="str">
        <f t="shared" si="4"/>
      </c>
      <c r="N26" s="41" t="str">
        <f t="shared" si="5"/>
      </c>
      <c r="O26" s="41" t="str">
        <f t="shared" si="6"/>
      </c>
      <c r="P26" s="18"/>
      <c r="Q26" s="18"/>
      <c r="R26" s="18"/>
      <c r="S26" s="18"/>
      <c r="T26" s="18"/>
      <c r="U26" s="41" t="str">
        <f>IF(C26="","",IFERROR(VLOOKUP(C26,SETUP!$A$9:$D$18,2,0),"⚠ Check SETUP"))</f>
      </c>
      <c r="V26" s="41" t="str">
        <f>IF(C26="","",IFERROR(VLOOKUP(C26,SETUP!$A$9:$D$18,3,0),"⚠ Check SETUP"))</f>
      </c>
      <c r="W26" s="40" t="str">
        <f>IF(C26="","",IFERROR(VLOOKUP(C26,SETUP!$A$9:$D$18,4,0),"⚠ Check SETUP"))</f>
      </c>
      <c r="X26" s="42" t="str">
        <f t="shared" si="7"/>
      </c>
      <c r="Y26" s="42" t="str">
        <f t="shared" si="8"/>
      </c>
      <c r="Z26" s="42" t="str">
        <f t="shared" si="9"/>
      </c>
    </row>
    <row r="27" spans="1:26" ht="19.5" customHeight="1" x14ac:dyDescent="0.2">
      <c r="A27" s="20"/>
      <c r="B27" s="18"/>
      <c r="C27" s="18"/>
      <c r="D27" s="37"/>
      <c r="E27" s="38" t="str">
        <f t="shared" si="0"/>
        <v/>
      </c>
      <c r="F27" s="38" t="str">
        <f t="shared" si="1"/>
        <v/>
      </c>
      <c r="G27" s="38" t="str">
        <f t="shared" si="2"/>
        <v/>
      </c>
      <c r="H27" s="39"/>
      <c r="I27" s="19"/>
      <c r="J27" s="40" t="str">
        <f t="shared" si="3"/>
      </c>
      <c r="K27" s="78"/>
      <c r="L27" s="41" t="str">
        <f t="shared" si="10"/>
      </c>
      <c r="M27" s="41" t="str">
        <f t="shared" si="4"/>
      </c>
      <c r="N27" s="41" t="str">
        <f t="shared" si="5"/>
      </c>
      <c r="O27" s="41" t="str">
        <f t="shared" si="6"/>
      </c>
      <c r="P27" s="18"/>
      <c r="Q27" s="18"/>
      <c r="R27" s="18"/>
      <c r="S27" s="18"/>
      <c r="T27" s="18"/>
      <c r="U27" s="41" t="str">
        <f>IF(C27="","",IFERROR(VLOOKUP(C27,SETUP!$A$9:$D$18,2,0),"⚠ Check SETUP"))</f>
      </c>
      <c r="V27" s="41" t="str">
        <f>IF(C27="","",IFERROR(VLOOKUP(C27,SETUP!$A$9:$D$18,3,0),"⚠ Check SETUP"))</f>
      </c>
      <c r="W27" s="40" t="str">
        <f>IF(C27="","",IFERROR(VLOOKUP(C27,SETUP!$A$9:$D$18,4,0),"⚠ Check SETUP"))</f>
      </c>
      <c r="X27" s="42" t="str">
        <f t="shared" si="7"/>
      </c>
      <c r="Y27" s="42" t="str">
        <f t="shared" si="8"/>
      </c>
      <c r="Z27" s="42" t="str">
        <f t="shared" si="9"/>
      </c>
    </row>
    <row r="28" spans="1:26" ht="19.5" customHeight="1" x14ac:dyDescent="0.2">
      <c r="A28" s="20"/>
      <c r="B28" s="18"/>
      <c r="C28" s="18"/>
      <c r="D28" s="37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39"/>
      <c r="I28" s="19"/>
      <c r="J28" s="40" t="str">
        <f t="shared" si="3"/>
      </c>
      <c r="K28" s="78"/>
      <c r="L28" s="41" t="str">
        <f t="shared" si="10"/>
      </c>
      <c r="M28" s="41" t="str">
        <f t="shared" si="4"/>
      </c>
      <c r="N28" s="41" t="str">
        <f t="shared" si="5"/>
      </c>
      <c r="O28" s="41" t="str">
        <f t="shared" si="6"/>
      </c>
      <c r="P28" s="18"/>
      <c r="Q28" s="18"/>
      <c r="R28" s="18"/>
      <c r="S28" s="18"/>
      <c r="T28" s="18"/>
      <c r="U28" s="41" t="str">
        <f>IF(C28="","",IFERROR(VLOOKUP(C28,SETUP!$A$9:$D$18,2,0),"⚠ Check SETUP"))</f>
      </c>
      <c r="V28" s="41" t="str">
        <f>IF(C28="","",IFERROR(VLOOKUP(C28,SETUP!$A$9:$D$18,3,0),"⚠ Check SETUP"))</f>
      </c>
      <c r="W28" s="40" t="str">
        <f>IF(C28="","",IFERROR(VLOOKUP(C28,SETUP!$A$9:$D$18,4,0),"⚠ Check SETUP"))</f>
      </c>
      <c r="X28" s="42" t="str">
        <f t="shared" si="7"/>
      </c>
      <c r="Y28" s="42" t="str">
        <f t="shared" si="8"/>
      </c>
      <c r="Z28" s="42" t="str">
        <f t="shared" si="9"/>
      </c>
    </row>
    <row r="29" spans="1:26" ht="19.5" customHeight="1" x14ac:dyDescent="0.2">
      <c r="A29" s="20"/>
      <c r="B29" s="18"/>
      <c r="C29" s="18"/>
      <c r="D29" s="37"/>
      <c r="E29" s="38" t="str">
        <f t="shared" si="0"/>
        <v/>
      </c>
      <c r="F29" s="38" t="str">
        <f t="shared" si="1"/>
        <v/>
      </c>
      <c r="G29" s="38" t="str">
        <f t="shared" si="2"/>
        <v/>
      </c>
      <c r="H29" s="39"/>
      <c r="I29" s="19"/>
      <c r="J29" s="40" t="str">
        <f t="shared" si="3"/>
      </c>
      <c r="K29" s="78"/>
      <c r="L29" s="41" t="str">
        <f t="shared" si="10"/>
      </c>
      <c r="M29" s="41" t="str">
        <f t="shared" si="4"/>
      </c>
      <c r="N29" s="41" t="str">
        <f t="shared" si="5"/>
      </c>
      <c r="O29" s="41" t="str">
        <f t="shared" si="6"/>
      </c>
      <c r="P29" s="18"/>
      <c r="Q29" s="18"/>
      <c r="R29" s="18"/>
      <c r="S29" s="18"/>
      <c r="T29" s="18"/>
      <c r="U29" s="41" t="str">
        <f>IF(C29="","",IFERROR(VLOOKUP(C29,SETUP!$A$9:$D$18,2,0),"⚠ Check SETUP"))</f>
      </c>
      <c r="V29" s="41" t="str">
        <f>IF(C29="","",IFERROR(VLOOKUP(C29,SETUP!$A$9:$D$18,3,0),"⚠ Check SETUP"))</f>
      </c>
      <c r="W29" s="40" t="str">
        <f>IF(C29="","",IFERROR(VLOOKUP(C29,SETUP!$A$9:$D$18,4,0),"⚠ Check SETUP"))</f>
      </c>
      <c r="X29" s="42" t="str">
        <f t="shared" si="7"/>
      </c>
      <c r="Y29" s="42" t="str">
        <f t="shared" si="8"/>
      </c>
      <c r="Z29" s="42" t="str">
        <f t="shared" si="9"/>
      </c>
    </row>
    <row r="30" spans="1:26" ht="19.5" customHeight="1" x14ac:dyDescent="0.2">
      <c r="A30" s="20"/>
      <c r="B30" s="18"/>
      <c r="C30" s="18"/>
      <c r="D30" s="37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39"/>
      <c r="I30" s="19"/>
      <c r="J30" s="40" t="str">
        <f t="shared" si="3"/>
      </c>
      <c r="K30" s="78"/>
      <c r="L30" s="41" t="str">
        <f t="shared" si="10"/>
      </c>
      <c r="M30" s="41" t="str">
        <f t="shared" si="4"/>
      </c>
      <c r="N30" s="41" t="str">
        <f t="shared" si="5"/>
      </c>
      <c r="O30" s="41" t="str">
        <f t="shared" si="6"/>
      </c>
      <c r="P30" s="18"/>
      <c r="Q30" s="18"/>
      <c r="R30" s="18"/>
      <c r="S30" s="18"/>
      <c r="T30" s="18"/>
      <c r="U30" s="41" t="str">
        <f>IF(C30="","",IFERROR(VLOOKUP(C30,SETUP!$A$9:$D$18,2,0),"⚠ Check SETUP"))</f>
      </c>
      <c r="V30" s="41" t="str">
        <f>IF(C30="","",IFERROR(VLOOKUP(C30,SETUP!$A$9:$D$18,3,0),"⚠ Check SETUP"))</f>
      </c>
      <c r="W30" s="40" t="str">
        <f>IF(C30="","",IFERROR(VLOOKUP(C30,SETUP!$A$9:$D$18,4,0),"⚠ Check SETUP"))</f>
      </c>
      <c r="X30" s="42" t="str">
        <f t="shared" si="7"/>
      </c>
      <c r="Y30" s="42" t="str">
        <f t="shared" si="8"/>
      </c>
      <c r="Z30" s="42" t="str">
        <f t="shared" si="9"/>
      </c>
    </row>
    <row r="31" spans="1:26" ht="19.5" customHeight="1" x14ac:dyDescent="0.2">
      <c r="A31" s="20"/>
      <c r="B31" s="18"/>
      <c r="C31" s="18"/>
      <c r="D31" s="37"/>
      <c r="E31" s="38" t="str">
        <f t="shared" si="0"/>
        <v/>
      </c>
      <c r="F31" s="38" t="str">
        <f t="shared" si="1"/>
        <v/>
      </c>
      <c r="G31" s="38" t="str">
        <f t="shared" si="2"/>
        <v/>
      </c>
      <c r="H31" s="39"/>
      <c r="I31" s="19"/>
      <c r="J31" s="40" t="str">
        <f t="shared" si="3"/>
      </c>
      <c r="K31" s="78"/>
      <c r="L31" s="41" t="str">
        <f t="shared" si="10"/>
      </c>
      <c r="M31" s="41" t="str">
        <f t="shared" si="4"/>
      </c>
      <c r="N31" s="41" t="str">
        <f t="shared" si="5"/>
      </c>
      <c r="O31" s="41" t="str">
        <f t="shared" si="6"/>
      </c>
      <c r="P31" s="18"/>
      <c r="Q31" s="18"/>
      <c r="R31" s="18"/>
      <c r="S31" s="18"/>
      <c r="T31" s="18"/>
      <c r="U31" s="41" t="str">
        <f>IF(C31="","",IFERROR(VLOOKUP(C31,SETUP!$A$9:$D$18,2,0),"⚠ Check SETUP"))</f>
      </c>
      <c r="V31" s="41" t="str">
        <f>IF(C31="","",IFERROR(VLOOKUP(C31,SETUP!$A$9:$D$18,3,0),"⚠ Check SETUP"))</f>
      </c>
      <c r="W31" s="40" t="str">
        <f>IF(C31="","",IFERROR(VLOOKUP(C31,SETUP!$A$9:$D$18,4,0),"⚠ Check SETUP"))</f>
      </c>
      <c r="X31" s="42" t="str">
        <f t="shared" si="7"/>
      </c>
      <c r="Y31" s="42" t="str">
        <f t="shared" si="8"/>
      </c>
      <c r="Z31" s="42" t="str">
        <f t="shared" si="9"/>
      </c>
    </row>
    <row r="32" spans="1:26" ht="19.5" customHeight="1" x14ac:dyDescent="0.2">
      <c r="A32" s="20"/>
      <c r="B32" s="18"/>
      <c r="C32" s="18"/>
      <c r="D32" s="37"/>
      <c r="E32" s="38" t="str">
        <f t="shared" si="0"/>
        <v/>
      </c>
      <c r="F32" s="38" t="str">
        <f t="shared" si="1"/>
        <v/>
      </c>
      <c r="G32" s="38" t="str">
        <f t="shared" si="2"/>
        <v/>
      </c>
      <c r="H32" s="39"/>
      <c r="I32" s="19"/>
      <c r="J32" s="40" t="str">
        <f t="shared" si="3"/>
      </c>
      <c r="K32" s="78"/>
      <c r="L32" s="41" t="str">
        <f t="shared" si="10"/>
      </c>
      <c r="M32" s="41" t="str">
        <f t="shared" si="4"/>
      </c>
      <c r="N32" s="41" t="str">
        <f t="shared" si="5"/>
      </c>
      <c r="O32" s="41" t="str">
        <f t="shared" si="6"/>
      </c>
      <c r="P32" s="18"/>
      <c r="Q32" s="18"/>
      <c r="R32" s="18"/>
      <c r="S32" s="18"/>
      <c r="T32" s="18"/>
      <c r="U32" s="41" t="str">
        <f>IF(C32="","",IFERROR(VLOOKUP(C32,SETUP!$A$9:$D$18,2,0),"⚠ Check SETUP"))</f>
      </c>
      <c r="V32" s="41" t="str">
        <f>IF(C32="","",IFERROR(VLOOKUP(C32,SETUP!$A$9:$D$18,3,0),"⚠ Check SETUP"))</f>
      </c>
      <c r="W32" s="40" t="str">
        <f>IF(C32="","",IFERROR(VLOOKUP(C32,SETUP!$A$9:$D$18,4,0),"⚠ Check SETUP"))</f>
      </c>
      <c r="X32" s="42" t="str">
        <f t="shared" si="7"/>
      </c>
      <c r="Y32" s="42" t="str">
        <f t="shared" si="8"/>
      </c>
      <c r="Z32" s="42" t="str">
        <f t="shared" si="9"/>
      </c>
    </row>
    <row r="33" spans="1:26" ht="19.5" customHeight="1" x14ac:dyDescent="0.2">
      <c r="A33" s="20"/>
      <c r="B33" s="18"/>
      <c r="C33" s="18"/>
      <c r="D33" s="37"/>
      <c r="E33" s="38" t="str">
        <f t="shared" si="0"/>
        <v/>
      </c>
      <c r="F33" s="38" t="str">
        <f t="shared" si="1"/>
        <v/>
      </c>
      <c r="G33" s="38" t="str">
        <f t="shared" si="2"/>
        <v/>
      </c>
      <c r="H33" s="39"/>
      <c r="I33" s="19"/>
      <c r="J33" s="40" t="str">
        <f t="shared" si="3"/>
      </c>
      <c r="K33" s="78"/>
      <c r="L33" s="41" t="str">
        <f t="shared" si="10"/>
      </c>
      <c r="M33" s="41" t="str">
        <f t="shared" si="4"/>
      </c>
      <c r="N33" s="41" t="str">
        <f t="shared" si="5"/>
      </c>
      <c r="O33" s="41" t="str">
        <f t="shared" si="6"/>
      </c>
      <c r="P33" s="18"/>
      <c r="Q33" s="18"/>
      <c r="R33" s="18"/>
      <c r="S33" s="18"/>
      <c r="T33" s="18"/>
      <c r="U33" s="41" t="str">
        <f>IF(C33="","",IFERROR(VLOOKUP(C33,SETUP!$A$9:$D$18,2,0),"⚠ Check SETUP"))</f>
      </c>
      <c r="V33" s="41" t="str">
        <f>IF(C33="","",IFERROR(VLOOKUP(C33,SETUP!$A$9:$D$18,3,0),"⚠ Check SETUP"))</f>
      </c>
      <c r="W33" s="40" t="str">
        <f>IF(C33="","",IFERROR(VLOOKUP(C33,SETUP!$A$9:$D$18,4,0),"⚠ Check SETUP"))</f>
      </c>
      <c r="X33" s="42" t="str">
        <f t="shared" si="7"/>
      </c>
      <c r="Y33" s="42" t="str">
        <f t="shared" si="8"/>
      </c>
      <c r="Z33" s="42" t="str">
        <f t="shared" si="9"/>
      </c>
    </row>
    <row r="34" spans="1:26" ht="21.75" customHeight="1" x14ac:dyDescent="0.2">
      <c r="W34" s="43" t="inlineStr">
        <is>
          <t>Portfolio Avg →</t>
        </is>
      </c>
      <c r="X34" s="44" t="str">
        <f>IFERROR(AVERAGEIF(X4:X33,"&lt;&gt;"),"")</f>
      </c>
      <c r="Y34" s="44" t="str">
        <f>IFERROR(AVERAGEIF(Y4:Y33,"&lt;&gt;"),"")</f>
      </c>
      <c r="Z34" s="44" t="str">
        <f>IFERROR(AVERAGEIF(Z4:Z33,"&lt;&gt;"),"")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21.75" customHeight="1" x14ac:dyDescent="0.2">
      <c r="A37" s="46" t="s">
        <v>98</v>
      </c>
      <c r="B37" s="46" t="s">
        <v>99</v>
      </c>
      <c r="C37" s="46" t="s">
        <v>100</v>
      </c>
      <c r="D37" s="46" t="s">
        <v>101</v>
      </c>
      <c r="E37" s="46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0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COUNTA(P4:P33)</f>
      </c>
      <c r="C39" s="52" t="str">
        <f>IFERROR(B39/B38,"-")</f>
        <v>-</v>
      </c>
      <c r="D39" s="52" t="str">
        <f>IFERROR(B39/(B39+B40),"-")</f>
        <v>-</v>
      </c>
      <c r="E39" s="53" t="str">
        <f>IF(B38=0,"Awaiting data",IF(B39/B38&gt;=0.6,"On Track ✓","Needs Attention ⚠"))</f>
        <v>Awaiting data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COUNTA(R4:R33)</f>
      </c>
      <c r="C40" s="56" t="str">
        <f>IFERROR(B40/B38,"-")</f>
        <v>-</v>
      </c>
      <c r="D40" s="56" t="str">
        <f>IFERROR(B40/(B39+B40),"-")</f>
        <v>-</v>
      </c>
      <c r="E40" s="57" t="str">
        <f>IF(B38=0,"Awaiting data",IF(B40/B38&lt;=0.2,"Acceptable","High NTV ⚠"))</f>
        <v>Awaiting data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COUNTA(Q4:Q33)</f>
      </c>
      <c r="C41" s="60" t="str">
        <f>IFERROR(B41/B38,"-")</f>
        <v>-</v>
      </c>
      <c r="D41" s="61" t="s">
        <v>107</v>
      </c>
      <c r="E41" s="62" t="s">
        <v>108</v>
      </c>
      <c r="F41" s="45"/>
      <c r="G41" s="45"/>
      <c r="H41" s="45"/>
    </row>
    <row r="42" spans="1:24" ht="21.75" customHeight="1" x14ac:dyDescent="0.2">
      <c r="A42" s="63" t="s">
        <v>109</v>
      </c>
      <c r="B42" s="64">
        <f>MAX(0,B38-B39-B40-B41)</f>
        <v>0</v>
      </c>
      <c r="C42" s="65" t="str">
        <f>IFERROR(B42/B38,"-")</f>
        <v>-</v>
      </c>
      <c r="D42" s="66" t="s">
        <v>107</v>
      </c>
      <c r="E42" s="67" t="str">
        <f>IF(B42=0,"All accounted for ✓","Follow up needed")</f>
        <v>All accounted for ✓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 t="str">
        <f>IFERROR(B39/B38,"-")</f>
        <v>-</v>
      </c>
      <c r="D44" s="2" t="str">
        <f>IF(B38=0,"Enter resident data to calculate",IF(B39/B38&gt;=0.6,"✓ Meeting target retention","⚠ Below target — review offers"))</f>
        <v>Enter resident data to calculate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Z1"/>
    <mergeCell ref="A36:G36"/>
    <mergeCell ref="A44:B44"/>
    <mergeCell ref="D44:G44"/>
    <mergeCell ref="A45:B45"/>
    <mergeCell ref="D45:G45"/>
  </mergeCells>
  <conditionalFormatting sqref="A4:T33">
    <cfRule type="expression" dxfId="2" priority="2">
      <formula>$R4&lt;&gt;""</formula>
    </cfRule>
    <cfRule type="expression" dxfId="1" priority="3">
      <formula>$Q4&lt;&gt;""</formula>
    </cfRule>
    <cfRule type="expression" dxfId="0" priority="4">
      <formula>$P4&lt;&gt;""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Jacquelyn Heflin</cp:lastModifiedBy>
  <cp:revision>0</cp:revision>
  <dcterms:created xsi:type="dcterms:W3CDTF">2026-03-11T17:52:19Z</dcterms:created>
  <dcterms:modified xsi:type="dcterms:W3CDTF">2026-03-11T18:28:03Z</dcterms:modified>
  <dc:language>en-US</dc:language>
</cp:coreProperties>
</file>