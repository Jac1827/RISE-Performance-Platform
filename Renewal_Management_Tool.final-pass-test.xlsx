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acheflin/Desktop/Revenue Management/"/>
    </mc:Choice>
  </mc:AlternateContent>
  <xr:revisionPtr revIDLastSave="0" documentId="8_{970A7EDA-0A33-6548-809F-E99B919A9F73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SETUP" sheetId="1" r:id="rId1"/>
    <sheet name="Mar 2026" sheetId="2" r:id="rId2"/>
    <sheet name="TEMPLATE" sheetId="3" r:id="rId3"/>
  </sheets>
  <calcPr calcId="191029" iterate="1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<sst xmlns="http://schemas.openxmlformats.org/spreadsheetml/2006/main" count="230" uniqueCount="119">
  <si>
    <t>RENEWAL MANAGEMENT TOOL  —  PROPERTY SETUP</t>
  </si>
  <si>
    <t>PROPERTY CONFIGURATION</t>
  </si>
  <si>
    <t>Property Name:</t>
  </si>
  <si>
    <t>RISE Citrus Ridge</t>
  </si>
  <si>
    <t>← Enter your property name here (blue = input cell)</t>
  </si>
  <si>
    <t>Month / Year:</t>
  </si>
  <si>
    <t>March 2026</t>
  </si>
  <si>
    <t>← Enter month and year (e.g., 'April 2026')</t>
  </si>
  <si>
    <t>FLOOR PLAN CONFIGURATION  —  Rates &amp; Occupancy by Unit Type</t>
  </si>
  <si>
    <t>Enter each floor plan type, its current market rate, budget rate, and occupancy status. The renewal tracker sheet uses these values to auto-populate offers — just enter the Unit Type and everything calculates.</t>
  </si>
  <si>
    <t>Floor Plan
Type</t>
  </si>
  <si>
    <t>Market Rate
($)</t>
  </si>
  <si>
    <t>Budget
Rate ($)</t>
  </si>
  <si>
    <t>Occupancy Status
(Under / Over)</t>
  </si>
  <si>
    <t>Unit Description / Notes</t>
  </si>
  <si>
    <t>B1</t>
  </si>
  <si>
    <t>Under</t>
  </si>
  <si>
    <t>1 Bed / 1 Bath</t>
  </si>
  <si>
    <t>C1</t>
  </si>
  <si>
    <t>2 Bed / 2 Bath</t>
  </si>
  <si>
    <t>⚠  Occupancy Status: Type "Under" when floor plan is below occupancy budget target, "Over" when above it. This controls which offer formula tier is applied.</t>
  </si>
  <si>
    <t>HOW TO USE THIS TOOL</t>
  </si>
  <si>
    <t>Step 1 — Configure:</t>
  </si>
  <si>
    <t>Update Property Name and Month/Year above. Enter all floor plan types with market rates, budget rates, and occupancy status (Under/Over). These feed every renewal sheet automatically.</t>
  </si>
  <si>
    <t>Step 2 — Enter Residents:</t>
  </si>
  <si>
    <t>Go to the monthly renewal sheet (e.g., 'Mar 2026'). Type resident data in the orange columns: Name, Unit, Unit Type, Expiration Date, Deposit Held, and Current Rate. All other columns calculate automatically.</t>
  </si>
  <si>
    <t>Step 3 — Track Decisions:</t>
  </si>
  <si>
    <t>As decisions come in, enter dates or notes in the Renewal Signed, Transfer, or NTV Rcv'd columns. Rows auto-color: Green = Renewed, Red = NTV, Blue = Transfer, Yellow = Pending.</t>
  </si>
  <si>
    <t>Step 4 — New Month:</t>
  </si>
  <si>
    <t>Right-click the TEMPLATE tab → 'Move or Copy' → check 'Create a copy' → rename to new month (e.g., 'Apr 2026'). Update Month/Year in this SETUP sheet.</t>
  </si>
  <si>
    <t>Step 5 — New Property:</t>
  </si>
  <si>
    <t>Save a copy of this entire workbook with the new property name. Then update SETUP with the new property name and its floor plan configuration. All sheets reference SETUP automatically.</t>
  </si>
  <si>
    <t>ROW COLOR CODING (auto-applied based on status entries)</t>
  </si>
  <si>
    <t>Renewed</t>
  </si>
  <si>
    <t>A date/value entered in 'Renewal Signed' column (N) turns the row green</t>
  </si>
  <si>
    <t>NTV (Notice to Vacate)</t>
  </si>
  <si>
    <t>A date/value entered in 'NTV Rcv'd' column (P) turns the row red</t>
  </si>
  <si>
    <t>Transfer</t>
  </si>
  <si>
    <t>A date/value entered in 'Transfer' column (O) turns the row blue</t>
  </si>
  <si>
    <t>Pending Signature</t>
  </si>
  <si>
    <t>Color manually with yellow fill using Excel's fill tool</t>
  </si>
  <si>
    <t>MTM (Month-to-Month)</t>
  </si>
  <si>
    <t>Color manually with gray fill using Excel's fill tool</t>
  </si>
  <si>
    <t>Name</t>
  </si>
  <si>
    <t>Unit</t>
  </si>
  <si>
    <t>Unit
Type</t>
  </si>
  <si>
    <t>Expiration
Date</t>
  </si>
  <si>
    <t>90-Day
Notice</t>
  </si>
  <si>
    <t>60-Day
Notice</t>
  </si>
  <si>
    <t>30-Day
Notice</t>
  </si>
  <si>
    <t>Deposit
Held</t>
  </si>
  <si>
    <t>Current
Rate</t>
  </si>
  <si>
    <t>Recommended
Offer</t>
  </si>
  <si>
    <t>Offer 1
Conservative</t>
  </si>
  <si>
    <t>Offer 2
Balanced</t>
  </si>
  <si>
    <t>Offer 3
Aggressive</t>
  </si>
  <si>
    <t>Renewal
Signed</t>
  </si>
  <si>
    <t>NTV
Rcv'd</t>
  </si>
  <si>
    <t>Phone</t>
  </si>
  <si>
    <t>Notes</t>
  </si>
  <si>
    <t>Market
Rate</t>
  </si>
  <si>
    <t>Budget</t>
  </si>
  <si>
    <t>Occupancy
(Under/Over)</t>
  </si>
  <si>
    <t>Rent Growth
Offer 1</t>
  </si>
  <si>
    <t>Rent Growth
Offer 2</t>
  </si>
  <si>
    <t>Rent Growth
Offer 3</t>
  </si>
  <si>
    <t>▼ Enter</t>
  </si>
  <si>
    <t>◀ Auto</t>
  </si>
  <si>
    <t>Adolfo Trevino III</t>
  </si>
  <si>
    <t>3-2055</t>
  </si>
  <si>
    <t>Shania Folkes</t>
  </si>
  <si>
    <t>13-2197</t>
  </si>
  <si>
    <t>Monique Mayhue</t>
  </si>
  <si>
    <t>11-2153</t>
  </si>
  <si>
    <t>Samaria Burrell</t>
  </si>
  <si>
    <t>11-2157</t>
  </si>
  <si>
    <t>Maddie Boquet</t>
  </si>
  <si>
    <t>12-2191</t>
  </si>
  <si>
    <t>Juan Rodriguez</t>
  </si>
  <si>
    <t>7-2134</t>
  </si>
  <si>
    <t>Elizabeth Cook</t>
  </si>
  <si>
    <t>8-2156</t>
  </si>
  <si>
    <t>Giovanna Augusto</t>
  </si>
  <si>
    <t>2-2032</t>
  </si>
  <si>
    <t>Olvin Ponce</t>
  </si>
  <si>
    <t>17-2327</t>
  </si>
  <si>
    <t>Orianna Raaz</t>
  </si>
  <si>
    <t>3-2063</t>
  </si>
  <si>
    <t>Shermaine Scott</t>
  </si>
  <si>
    <t>18-2361</t>
  </si>
  <si>
    <t>Deoveyon James</t>
  </si>
  <si>
    <t>8-2160</t>
  </si>
  <si>
    <t>Serrita Conyers</t>
  </si>
  <si>
    <t>10-2228</t>
  </si>
  <si>
    <t>Elienid Coke</t>
  </si>
  <si>
    <t>18-2357</t>
  </si>
  <si>
    <t>Portfolio Avg →</t>
  </si>
  <si>
    <t>RETENTION ANALYSIS</t>
  </si>
  <si>
    <t>Metric</t>
  </si>
  <si>
    <t>Count</t>
  </si>
  <si>
    <t>% of Expirations</t>
  </si>
  <si>
    <t>% of Decided</t>
  </si>
  <si>
    <t>Status</t>
  </si>
  <si>
    <t>Total Lease Expirations</t>
  </si>
  <si>
    <t xml:space="preserve">    Renewals Signed</t>
  </si>
  <si>
    <t xml:space="preserve">    NTV's Received</t>
  </si>
  <si>
    <t xml:space="preserve">    Transfers</t>
  </si>
  <si>
    <t>—</t>
  </si>
  <si>
    <t>Resident retained in portfolio</t>
  </si>
  <si>
    <t xml:space="preserve">    Pending / Not Yet Decided</t>
  </si>
  <si>
    <t>RETENTION RATE  (Renewals ÷ Total Expirations)</t>
  </si>
  <si>
    <t>RETENTION RATE  (Renewals ÷ Renewals + NTVs)  ← of decided residents</t>
  </si>
  <si>
    <t>Excludes pending residents — only counts those who have made a decision (renewed or NTV'd)</t>
  </si>
  <si>
    <t>Legend</t>
  </si>
  <si>
    <t>Renewed  (auto: enter date in Renewal Signed)</t>
  </si>
  <si>
    <t>Pending Signature  (manual: apply yellow fill)</t>
  </si>
  <si>
    <t>NTV / Notice to Vacate  (auto: enter date in NTV Rcv'd)</t>
  </si>
  <si>
    <t>Transfer  (auto: enter date in Transfer)</t>
  </si>
  <si>
    <t>MTM / Month-to-Month  (manual: apply gray fill)</t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</si>
</sst>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x14ac="http://schemas.microsoft.com/office/spreadsheetml/2009/9/ac" xmlns:x15="http://schemas.microsoft.com/office/spreadsheetml/2010/11/main" mc:Ignorable="x14ac x16r2 xr">
  <numFmts count="5">
    <numFmt numFmtId="164" formatCode="\$#,##0"/>
    <numFmt numFmtId="165" formatCode="mm/dd/yyyy"/>
    <numFmt numFmtId="166" formatCode="\$#,##0;&quot;($&quot;#,##0\);\-"/>
    <numFmt numFmtId="167" formatCode="0.0%;\(0.0%\);\-"/>
    <numFmt numFmtId="168" formatCode="0.0%"/>
  </numFmts>
  <fonts count="32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A7D00"/>
      <name val="Arial"/>
      <family val="2"/>
    </font>
    <font>
      <i/>
      <sz val="9"/>
      <color rgb="FF777777"/>
      <name val="Arial"/>
      <family val="2"/>
    </font>
    <font>
      <i/>
      <sz val="9"/>
      <color rgb="FF444444"/>
      <name val="Arial"/>
      <family val="2"/>
    </font>
    <font>
      <b/>
      <sz val="9"/>
      <color rgb="FFFFFFFF"/>
      <name val="Arial"/>
      <family val="2"/>
    </font>
    <font>
      <i/>
      <sz val="10"/>
      <color rgb="FFAAAAAA"/>
      <name val="Arial"/>
      <family val="2"/>
    </font>
    <font>
      <sz val="9"/>
      <color rgb="FF7F5000"/>
      <name val="Arial"/>
      <family val="2"/>
    </font>
    <font>
      <b/>
      <sz val="9"/>
      <color rgb="FF002060"/>
      <name val="Arial"/>
      <family val="2"/>
    </font>
    <font>
      <sz val="9"/>
      <color rgb="FF222222"/>
      <name val="Arial"/>
      <family val="2"/>
    </font>
    <font>
      <b/>
      <sz val="9"/>
      <color rgb="FF000000"/>
      <name val="Arial"/>
      <family val="2"/>
    </font>
    <font>
      <b/>
      <sz val="13"/>
      <color rgb="FFFFFFFF"/>
      <name val="Arial"/>
      <family val="2"/>
    </font>
    <font>
      <sz val="7"/>
      <color rgb="FFFA7D00"/>
      <name val="Arial"/>
      <family val="2"/>
    </font>
    <font>
      <sz val="7"/>
      <color rgb="FF888888"/>
      <name val="Arial"/>
      <family val="2"/>
    </font>
    <font>
      <sz val="10"/>
      <color rgb="FF000000"/>
      <name val="Arial"/>
      <family val="2"/>
    </font>
    <font>
      <b/>
      <sz val="10"/>
      <color rgb="FF006100"/>
      <name val="Arial"/>
      <family val="2"/>
    </font>
    <font>
      <b/>
      <sz val="11"/>
      <color rgb="FFFFFFFF"/>
      <name val="Arial"/>
      <family val="2"/>
    </font>
    <font>
      <sz val="11"/>
      <name val="Cambria"/>
      <family val="1"/>
    </font>
    <font>
      <b/>
      <sz val="10"/>
      <color rgb="FF002060"/>
      <name val="Arial"/>
      <family val="2"/>
    </font>
    <font>
      <sz val="10"/>
      <color rgb="FF222222"/>
      <name val="Arial"/>
      <family val="2"/>
    </font>
    <font>
      <b/>
      <sz val="10"/>
      <color rgb="FF375623"/>
      <name val="Arial"/>
      <family val="2"/>
    </font>
    <font>
      <i/>
      <sz val="9"/>
      <color rgb="FF555555"/>
      <name val="Arial"/>
      <family val="2"/>
    </font>
    <font>
      <b/>
      <sz val="10"/>
      <color rgb="FF8B0000"/>
      <name val="Arial"/>
      <family val="2"/>
    </font>
    <font>
      <b/>
      <sz val="10"/>
      <color rgb="FF006080"/>
      <name val="Arial"/>
      <family val="2"/>
    </font>
    <font>
      <sz val="9"/>
      <color rgb="FFAAAAAA"/>
      <name val="Arial"/>
      <family val="2"/>
    </font>
    <font>
      <b/>
      <sz val="10"/>
      <color rgb="FF7F5000"/>
      <name val="Arial"/>
      <family val="2"/>
    </font>
    <font>
      <b/>
      <sz val="18"/>
      <color rgb="FFFFFFFF"/>
      <name val="Arial"/>
      <family val="2"/>
    </font>
    <font>
      <i/>
      <sz val="9"/>
      <color rgb="FF222222"/>
      <name val="Arial"/>
      <family val="2"/>
    </font>
    <font>
      <i/>
      <sz val="9"/>
      <color rgb="FF333333"/>
      <name val="Arial"/>
      <family val="2"/>
    </font>
    <font>
      <b/>
      <sz val="13"/>
      <color rgb="FF00206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070C0"/>
        <bgColor rgb="FF006080"/>
      </patternFill>
    </fill>
    <fill>
      <patternFill patternType="solid">
        <fgColor rgb="FFF2F2F2"/>
        <bgColor rgb="FFEEF4FF"/>
      </patternFill>
    </fill>
    <fill>
      <patternFill patternType="solid">
        <fgColor rgb="FFEEF4FF"/>
        <bgColor rgb="FFE8F0FE"/>
      </patternFill>
    </fill>
    <fill>
      <patternFill patternType="solid">
        <fgColor rgb="FFECECEC"/>
        <bgColor rgb="FFF2F2F2"/>
      </patternFill>
    </fill>
    <fill>
      <patternFill patternType="solid">
        <fgColor rgb="FFFFF2CC"/>
        <bgColor rgb="FFFFF8E0"/>
      </patternFill>
    </fill>
    <fill>
      <patternFill patternType="solid">
        <fgColor rgb="FF92D050"/>
        <bgColor rgb="FFAAAAAA"/>
      </patternFill>
    </fill>
    <fill>
      <patternFill patternType="solid">
        <fgColor rgb="FFFF0000"/>
        <bgColor rgb="FF8B0000"/>
      </patternFill>
    </fill>
    <fill>
      <patternFill patternType="solid">
        <fgColor rgb="FFBDD7EE"/>
        <bgColor rgb="FFCCCCCC"/>
      </patternFill>
    </fill>
    <fill>
      <patternFill patternType="solid">
        <fgColor rgb="FFFFFF00"/>
        <bgColor rgb="FFFFF2CC"/>
      </patternFill>
    </fill>
    <fill>
      <patternFill patternType="solid">
        <fgColor rgb="FFCCCCCC"/>
        <bgColor rgb="FFD9D9D9"/>
      </patternFill>
    </fill>
    <fill>
      <patternFill patternType="solid">
        <fgColor rgb="FFA5A5A5"/>
        <bgColor rgb="FFAAAAAA"/>
      </patternFill>
    </fill>
    <fill>
      <patternFill patternType="solid">
        <fgColor rgb="FFC6EFCE"/>
        <bgColor rgb="FFE2EFDA"/>
      </patternFill>
    </fill>
    <fill>
      <patternFill patternType="solid">
        <fgColor rgb="FFD6E4F7"/>
        <bgColor rgb="FFD9E1F2"/>
      </patternFill>
    </fill>
    <fill>
      <patternFill patternType="solid">
        <fgColor rgb="FFE2EFDA"/>
        <bgColor rgb="FFECECEC"/>
      </patternFill>
    </fill>
    <fill>
      <patternFill patternType="solid">
        <fgColor rgb="FFFFCCCC"/>
        <bgColor rgb="FFD9D9D9"/>
      </patternFill>
    </fill>
    <fill>
      <patternFill patternType="solid">
        <fgColor rgb="FFE0EEFF"/>
        <bgColor rgb="FFE8F0FE"/>
      </patternFill>
    </fill>
    <fill>
      <patternFill patternType="solid">
        <fgColor rgb="FFFFF8E0"/>
        <bgColor rgb="FFFFF2CC"/>
      </patternFill>
    </fill>
    <fill>
      <patternFill patternType="solid">
        <fgColor rgb="FFE8F0FE"/>
        <bgColor rgb="FFEEF4FF"/>
      </patternFill>
    </fill>
    <fill>
      <patternFill patternType="solid">
        <fgColor rgb="FFD9E1F2"/>
        <bgColor rgb="FFD6E4F7"/>
      </patternFill>
    </fill>
  </fills>
  <borders count="7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0" fillId="21" borderId="3" xfId="0" applyFont="1" applyFill="1" applyBorder="1" applyAlignment="1">
      <alignment horizontal="right" vertical="center"/>
    </xf>
    <xf numFmtId="0" fontId="29" fillId="20" borderId="3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11" fillId="5" borderId="3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64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top"/>
    </xf>
    <xf numFmtId="0" fontId="12" fillId="8" borderId="2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left" vertical="center"/>
    </xf>
    <xf numFmtId="0" fontId="12" fillId="10" borderId="2" xfId="0" applyFont="1" applyFill="1" applyBorder="1" applyAlignment="1">
      <alignment horizontal="left" vertical="center"/>
    </xf>
    <xf numFmtId="0" fontId="12" fillId="11" borderId="2" xfId="0" applyFont="1" applyFill="1" applyBorder="1" applyAlignment="1">
      <alignment horizontal="left" vertical="center"/>
    </xf>
    <xf numFmtId="0" fontId="12" fillId="12" borderId="2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15" fillId="13" borderId="0" xfId="0" applyFont="1" applyFill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16" fillId="13" borderId="2" xfId="0" applyNumberFormat="1" applyFont="1" applyFill="1" applyBorder="1" applyAlignment="1">
      <alignment horizontal="center" vertical="center"/>
    </xf>
    <xf numFmtId="166" fontId="4" fillId="4" borderId="2" xfId="0" applyNumberFormat="1" applyFont="1" applyFill="1" applyBorder="1" applyAlignment="1">
      <alignment horizontal="center" vertical="center"/>
    </xf>
    <xf numFmtId="0" fontId="16" fillId="13" borderId="2" xfId="0" applyFont="1" applyFill="1" applyBorder="1" applyAlignment="1">
      <alignment horizontal="center" vertical="center"/>
    </xf>
    <xf numFmtId="164" fontId="16" fillId="13" borderId="2" xfId="0" applyNumberFormat="1" applyFont="1" applyFill="1" applyBorder="1" applyAlignment="1">
      <alignment horizontal="center" vertical="center"/>
    </xf>
    <xf numFmtId="167" fontId="16" fillId="13" borderId="2" xfId="0" applyNumberFormat="1" applyFont="1" applyFill="1" applyBorder="1" applyAlignment="1">
      <alignment horizontal="center" vertical="center"/>
    </xf>
    <xf numFmtId="0" fontId="17" fillId="14" borderId="2" xfId="0" applyFont="1" applyFill="1" applyBorder="1" applyAlignment="1">
      <alignment horizontal="right" vertical="center"/>
    </xf>
    <xf numFmtId="167" fontId="17" fillId="14" borderId="2" xfId="0" applyNumberFormat="1" applyFont="1" applyFill="1" applyBorder="1" applyAlignment="1">
      <alignment horizontal="center" vertical="center"/>
    </xf>
    <xf numFmtId="0" fontId="19" fillId="0" borderId="0" xfId="0" applyFont="1"/>
    <xf numFmtId="0" fontId="7" fillId="3" borderId="4" xfId="0" applyFont="1" applyFill="1" applyBorder="1" applyAlignment="1">
      <alignment horizontal="center" vertical="center"/>
    </xf>
    <xf numFmtId="0" fontId="20" fillId="15" borderId="2" xfId="0" applyFont="1" applyFill="1" applyBorder="1" applyAlignment="1">
      <alignment horizontal="left" vertical="center"/>
    </xf>
    <xf numFmtId="0" fontId="3" fillId="15" borderId="2" xfId="0" applyFont="1" applyFill="1" applyBorder="1" applyAlignment="1">
      <alignment horizontal="center" vertical="center"/>
    </xf>
    <xf numFmtId="0" fontId="19" fillId="15" borderId="2" xfId="0" applyFont="1" applyFill="1" applyBorder="1"/>
    <xf numFmtId="0" fontId="21" fillId="16" borderId="2" xfId="0" applyFont="1" applyFill="1" applyBorder="1" applyAlignment="1">
      <alignment horizontal="left" vertical="center"/>
    </xf>
    <xf numFmtId="0" fontId="3" fillId="16" borderId="2" xfId="0" applyFont="1" applyFill="1" applyBorder="1" applyAlignment="1">
      <alignment horizontal="center" vertical="center"/>
    </xf>
    <xf numFmtId="167" fontId="22" fillId="16" borderId="2" xfId="0" applyNumberFormat="1" applyFont="1" applyFill="1" applyBorder="1" applyAlignment="1">
      <alignment horizontal="center" vertical="center"/>
    </xf>
    <xf numFmtId="0" fontId="23" fillId="16" borderId="2" xfId="0" applyFont="1" applyFill="1" applyBorder="1" applyAlignment="1">
      <alignment horizontal="left" vertical="center"/>
    </xf>
    <xf numFmtId="0" fontId="21" fillId="17" borderId="2" xfId="0" applyFont="1" applyFill="1" applyBorder="1" applyAlignment="1">
      <alignment horizontal="left" vertical="center"/>
    </xf>
    <xf numFmtId="0" fontId="3" fillId="17" borderId="2" xfId="0" applyFont="1" applyFill="1" applyBorder="1" applyAlignment="1">
      <alignment horizontal="center" vertical="center"/>
    </xf>
    <xf numFmtId="167" fontId="24" fillId="17" borderId="2" xfId="0" applyNumberFormat="1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left" vertical="center"/>
    </xf>
    <xf numFmtId="0" fontId="21" fillId="18" borderId="2" xfId="0" applyFont="1" applyFill="1" applyBorder="1" applyAlignment="1">
      <alignment horizontal="left" vertical="center"/>
    </xf>
    <xf numFmtId="0" fontId="3" fillId="18" borderId="2" xfId="0" applyFont="1" applyFill="1" applyBorder="1" applyAlignment="1">
      <alignment horizontal="center" vertical="center"/>
    </xf>
    <xf numFmtId="167" fontId="25" fillId="18" borderId="2" xfId="0" applyNumberFormat="1" applyFont="1" applyFill="1" applyBorder="1" applyAlignment="1">
      <alignment horizontal="center" vertical="center"/>
    </xf>
    <xf numFmtId="0" fontId="26" fillId="18" borderId="2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left" vertical="center"/>
    </xf>
    <xf numFmtId="0" fontId="21" fillId="19" borderId="2" xfId="0" applyFont="1" applyFill="1" applyBorder="1" applyAlignment="1">
      <alignment horizontal="left" vertical="center"/>
    </xf>
    <xf numFmtId="0" fontId="3" fillId="19" borderId="2" xfId="0" applyFont="1" applyFill="1" applyBorder="1" applyAlignment="1">
      <alignment horizontal="center" vertical="center"/>
    </xf>
    <xf numFmtId="167" fontId="27" fillId="19" borderId="2" xfId="0" applyNumberFormat="1" applyFont="1" applyFill="1" applyBorder="1" applyAlignment="1">
      <alignment horizontal="center" vertical="center"/>
    </xf>
    <xf numFmtId="0" fontId="26" fillId="19" borderId="2" xfId="0" applyFont="1" applyFill="1" applyBorder="1" applyAlignment="1">
      <alignment horizontal="center" vertical="center"/>
    </xf>
    <xf numFmtId="0" fontId="23" fillId="19" borderId="2" xfId="0" applyFont="1" applyFill="1" applyBorder="1" applyAlignment="1">
      <alignment horizontal="left" vertical="center"/>
    </xf>
    <xf numFmtId="168" fontId="28" fillId="2" borderId="6" xfId="0" applyNumberFormat="1" applyFont="1" applyFill="1" applyBorder="1" applyAlignment="1">
      <alignment horizontal="center" vertical="center"/>
    </xf>
    <xf numFmtId="168" fontId="31" fillId="21" borderId="2" xfId="0" applyNumberFormat="1" applyFont="1" applyFill="1" applyBorder="1" applyAlignment="1">
      <alignment horizontal="center" vertical="center"/>
    </xf>
    <xf numFmtId="0" fontId="3" fillId="0" borderId="0" xfId="0" applyFont="1"/>
    <xf numFmtId="0" fontId="16" fillId="8" borderId="2" xfId="0" applyFont="1" applyFill="1" applyBorder="1" applyAlignment="1">
      <alignment horizontal="left" vertical="center"/>
    </xf>
    <xf numFmtId="0" fontId="16" fillId="11" borderId="2" xfId="0" applyFont="1" applyFill="1" applyBorder="1" applyAlignment="1">
      <alignment horizontal="left" vertical="center"/>
    </xf>
    <xf numFmtId="0" fontId="16" fillId="9" borderId="2" xfId="0" applyFont="1" applyFill="1" applyBorder="1" applyAlignment="1">
      <alignment horizontal="left" vertical="center"/>
    </xf>
    <xf numFmtId="0" fontId="16" fillId="10" borderId="2" xfId="0" applyFont="1" applyFill="1" applyBorder="1" applyAlignment="1">
      <alignment horizontal="left" vertical="center"/>
    </xf>
    <xf numFmtId="0" fontId="16" fillId="12" borderId="2" xfId="0" applyFont="1" applyFill="1" applyBorder="1" applyAlignment="1">
      <alignment horizontal="left" vertical="center"/>
    </xf>
    <xf numFmtId="0" fontId="23" fillId="21" borderId="3" xfId="0" applyFont="1" applyFill="1" applyBorder="1" applyAlignment="1">
      <alignment horizontal="left" vertical="center" wrapText="1"/>
    </xf>
    <xf numFmtId="0" fontId="21" fillId="19" borderId="2" xfId="0" applyFont="1" applyFill="1" applyBorder="1" applyAlignment="1">
      <alignment horizontal="left" vertical="center" wrapText="1"/>
    </xf>
    <xf numFmtId="167" fontId="4" fillId="4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BDD7E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100"/>
      <rgbColor rgb="FF000080"/>
      <rgbColor rgb="FF808000"/>
      <rgbColor rgb="FF800080"/>
      <rgbColor rgb="FF006080"/>
      <rgbColor rgb="FFCCCCCC"/>
      <rgbColor rgb="FF888888"/>
      <rgbColor rgb="FFA5A5A5"/>
      <rgbColor rgb="FF555555"/>
      <rgbColor rgb="FFFFF8E0"/>
      <rgbColor rgb="FFE0EEFF"/>
      <rgbColor rgb="FF660066"/>
      <rgbColor rgb="FFD9E1F2"/>
      <rgbColor rgb="FF0070C0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E8F0FE"/>
      <rgbColor rgb="FFC6EFCE"/>
      <rgbColor rgb="FFFFF2CC"/>
      <rgbColor rgb="FFD6E4F7"/>
      <rgbColor rgb="FFD9D9D9"/>
      <rgbColor rgb="FFAAAAAA"/>
      <rgbColor rgb="FFFFCCCC"/>
      <rgbColor rgb="FF3366FF"/>
      <rgbColor rgb="FFEEF4FF"/>
      <rgbColor rgb="FF92D050"/>
      <rgbColor rgb="FFECECEC"/>
      <rgbColor rgb="FFF2F2F2"/>
      <rgbColor rgb="FFFA7D00"/>
      <rgbColor rgb="FF777777"/>
      <rgbColor rgb="FF999999"/>
      <rgbColor rgb="FF002060"/>
      <rgbColor rgb="FF339966"/>
      <rgbColor rgb="FF375623"/>
      <rgbColor rgb="FF222222"/>
      <rgbColor rgb="FF7F5000"/>
      <rgbColor rgb="FF993366"/>
      <rgbColor rgb="FF44444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ns3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haredStrings" Target="sharedStrings.xml" /><ns0:Relationship Id="rId5" Type="http://schemas.openxmlformats.org/officeDocument/2006/relationships/styles" Target="styles.xml" /><ns0:Relationship Id="rId4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Normal="100" workbookViewId="0">
      <selection sqref="A1:E1"/>
    </sheetView>
  </sheetViews>
  <sheetFormatPr baseColWidth="10" defaultColWidth="8.6640625" defaultRowHeight="15" customHeight="1" x14ac:dyDescent="0.2"/>
  <cols>
    <col min="1" max="1" width="20" customWidth="1"/>
    <col min="2" max="2" width="22" customWidth="1"/>
    <col min="3" max="3" width="20" customWidth="1"/>
    <col min="4" max="4" width="22" customWidth="1"/>
    <col min="5" max="5" width="32" customWidth="1"/>
  </cols>
  <sheetData>
    <row r="1" spans="1:5" ht="39.75" customHeight="1" x14ac:dyDescent="0.2">
      <c r="A1" s="14" t="s">
        <v>0</v>
      </c>
      <c r="B1" s="14"/>
      <c r="C1" s="14"/>
      <c r="D1" s="14"/>
      <c r="E1" s="14"/>
    </row>
    <row r="2" spans="1:5" ht="21.75" customHeight="1" x14ac:dyDescent="0.2">
      <c r="A2" s="13" t="s">
        <v>1</v>
      </c>
      <c r="B2" s="13"/>
      <c r="C2" s="13"/>
      <c r="D2" s="13"/>
      <c r="E2" s="13"/>
    </row>
    <row r="3" spans="1:5" ht="21.75" customHeight="1" x14ac:dyDescent="0.2">
      <c r="A3" s="15" t="s">
        <v>2</v>
      </c>
      <c r="B3" s="16" t="s">
        <v>3</v>
      </c>
      <c r="C3" s="12" t="s">
        <v>4</v>
      </c>
      <c r="D3" s="12"/>
      <c r="E3" s="12"/>
    </row>
    <row r="4" spans="1:5" ht="21.75" customHeight="1" x14ac:dyDescent="0.2">
      <c r="A4" s="15" t="s">
        <v>5</v>
      </c>
      <c r="B4" s="16" t="s">
        <v>6</v>
      </c>
      <c r="C4" s="12" t="s">
        <v>7</v>
      </c>
      <c r="D4" s="12"/>
      <c r="E4" s="12"/>
    </row>
    <row r="5" spans="1:5" ht="7.5" customHeight="1" x14ac:dyDescent="0.2"/>
    <row r="6" spans="1:5" ht="21.75" customHeight="1" x14ac:dyDescent="0.2">
      <c r="A6" s="13" t="s">
        <v>8</v>
      </c>
      <c r="B6" s="13"/>
      <c r="C6" s="13"/>
      <c r="D6" s="13"/>
      <c r="E6" s="13"/>
    </row>
    <row r="7" spans="1:5" ht="31.5" customHeight="1" x14ac:dyDescent="0.2">
      <c r="A7" s="11" t="s">
        <v>9</v>
      </c>
      <c r="B7" s="11"/>
      <c r="C7" s="11"/>
      <c r="D7" s="11"/>
      <c r="E7" s="11"/>
    </row>
    <row r="8" spans="1:5" ht="24" customHeight="1" x14ac:dyDescent="0.2">
      <c r="A8" s="17" t="s">
        <v>10</v>
      </c>
      <c r="B8" s="17" t="s">
        <v>11</v>
      </c>
      <c r="C8" s="17" t="s">
        <v>12</v>
      </c>
      <c r="D8" s="17" t="s">
        <v>13</v>
      </c>
      <c r="E8" s="17" t="s">
        <v>14</v>
      </c>
    </row>
    <row r="9" spans="1:5" ht="21.75" customHeight="1" x14ac:dyDescent="0.2">
      <c r="A9" s="18" t="s">
        <v>15</v>
      </c>
      <c r="B9" s="19">
        <v>2150</v>
      </c>
      <c r="C9" s="19">
        <v>2181</v>
      </c>
      <c r="D9" s="18" t="s">
        <v>16</v>
      </c>
      <c r="E9" s="20" t="s">
        <v>17</v>
      </c>
    </row>
    <row r="10" spans="1:5" ht="21.75" customHeight="1" x14ac:dyDescent="0.2">
      <c r="A10" s="21" t="s">
        <v>18</v>
      </c>
      <c r="B10" s="22">
        <v>2295</v>
      </c>
      <c r="C10" s="22">
        <v>2626</v>
      </c>
      <c r="D10" s="21" t="s">
        <v>16</v>
      </c>
      <c r="E10" s="23" t="s">
        <v>19</v>
      </c>
    </row>
    <row r="11" spans="1:5" ht="21.75" customHeight="1" x14ac:dyDescent="0.2">
      <c r="A11" s="24"/>
      <c r="B11" s="24"/>
      <c r="C11" s="24"/>
      <c r="D11" s="24"/>
      <c r="E11" s="25"/>
    </row>
    <row r="12" spans="1:5" ht="21.75" customHeight="1" x14ac:dyDescent="0.2">
      <c r="A12" s="26"/>
      <c r="B12" s="26"/>
      <c r="C12" s="26"/>
      <c r="D12" s="26"/>
      <c r="E12" s="27"/>
    </row>
    <row r="13" spans="1:5" ht="21.75" customHeight="1" x14ac:dyDescent="0.2">
      <c r="A13" s="24"/>
      <c r="B13" s="24"/>
      <c r="C13" s="24"/>
      <c r="D13" s="24"/>
      <c r="E13" s="25"/>
    </row>
    <row r="14" spans="1:5" ht="21.75" customHeight="1" x14ac:dyDescent="0.2">
      <c r="A14" s="26"/>
      <c r="B14" s="26"/>
      <c r="C14" s="26"/>
      <c r="D14" s="26"/>
      <c r="E14" s="27"/>
    </row>
    <row r="15" spans="1:5" ht="21.75" customHeight="1" x14ac:dyDescent="0.2">
      <c r="A15" s="24"/>
      <c r="B15" s="24"/>
      <c r="C15" s="24"/>
      <c r="D15" s="24"/>
      <c r="E15" s="25"/>
    </row>
    <row r="16" spans="1:5" ht="21.75" customHeight="1" x14ac:dyDescent="0.2">
      <c r="A16" s="26"/>
      <c r="B16" s="26"/>
      <c r="C16" s="26"/>
      <c r="D16" s="26"/>
      <c r="E16" s="27"/>
    </row>
    <row r="17" spans="1:5" ht="21.75" customHeight="1" x14ac:dyDescent="0.2">
      <c r="A17" s="24"/>
      <c r="B17" s="24"/>
      <c r="C17" s="24"/>
      <c r="D17" s="24"/>
      <c r="E17" s="25"/>
    </row>
    <row r="18" spans="1:5" ht="21.75" customHeight="1" x14ac:dyDescent="0.2">
      <c r="A18" s="26"/>
      <c r="B18" s="26"/>
      <c r="C18" s="26"/>
      <c r="D18" s="26"/>
      <c r="E18" s="27"/>
    </row>
    <row r="19" spans="1:5" ht="24.75" customHeight="1" x14ac:dyDescent="0.2">
      <c r="A19" s="10" t="s">
        <v>20</v>
      </c>
      <c r="B19" s="10"/>
      <c r="C19" s="10"/>
      <c r="D19" s="10"/>
      <c r="E19" s="10"/>
    </row>
    <row r="20" spans="1:5" ht="7.5" customHeight="1" x14ac:dyDescent="0.2"/>
    <row r="21" spans="1:5" ht="21.75" customHeight="1" x14ac:dyDescent="0.2">
      <c r="A21" s="9" t="s">
        <v>21</v>
      </c>
      <c r="B21" s="9"/>
      <c r="C21" s="9"/>
      <c r="D21" s="9"/>
      <c r="E21" s="9"/>
    </row>
    <row r="22" spans="1:5" ht="42" customHeight="1" x14ac:dyDescent="0.2">
      <c r="A22" s="28" t="s">
        <v>22</v>
      </c>
      <c r="B22" s="8" t="s">
        <v>23</v>
      </c>
      <c r="C22" s="8"/>
      <c r="D22" s="8"/>
      <c r="E22" s="8"/>
    </row>
    <row r="23" spans="1:5" ht="42" customHeight="1" x14ac:dyDescent="0.2">
      <c r="A23" s="28" t="s">
        <v>24</v>
      </c>
      <c r="B23" s="8" t="s">
        <v>25</v>
      </c>
      <c r="C23" s="8"/>
      <c r="D23" s="8"/>
      <c r="E23" s="8"/>
    </row>
    <row r="24" spans="1:5" ht="42" customHeight="1" x14ac:dyDescent="0.2">
      <c r="A24" s="28" t="s">
        <v>26</v>
      </c>
      <c r="B24" s="8" t="s">
        <v>27</v>
      </c>
      <c r="C24" s="8"/>
      <c r="D24" s="8"/>
      <c r="E24" s="8"/>
    </row>
    <row r="25" spans="1:5" ht="42" customHeight="1" x14ac:dyDescent="0.2">
      <c r="A25" s="28" t="s">
        <v>28</v>
      </c>
      <c r="B25" s="8" t="s">
        <v>29</v>
      </c>
      <c r="C25" s="8"/>
      <c r="D25" s="8"/>
      <c r="E25" s="8"/>
    </row>
    <row r="26" spans="1:5" ht="42" customHeight="1" x14ac:dyDescent="0.2">
      <c r="A26" s="28" t="s">
        <v>30</v>
      </c>
      <c r="B26" s="8" t="s">
        <v>31</v>
      </c>
      <c r="C26" s="8"/>
      <c r="D26" s="8"/>
      <c r="E26" s="8"/>
    </row>
    <row r="28" spans="1:5" ht="21.75" customHeight="1" x14ac:dyDescent="0.2">
      <c r="A28" s="7" t="s">
        <v>32</v>
      </c>
      <c r="B28" s="7"/>
      <c r="C28" s="7"/>
      <c r="D28" s="7"/>
      <c r="E28" s="7"/>
    </row>
    <row r="29" spans="1:5" ht="19.5" customHeight="1" x14ac:dyDescent="0.2">
      <c r="A29" s="29" t="s">
        <v>33</v>
      </c>
      <c r="B29" s="6" t="s">
        <v>34</v>
      </c>
      <c r="C29" s="6"/>
      <c r="D29" s="6"/>
      <c r="E29" s="6"/>
    </row>
    <row r="30" spans="1:5" ht="19.5" customHeight="1" x14ac:dyDescent="0.2">
      <c r="A30" s="30" t="s">
        <v>35</v>
      </c>
      <c r="B30" s="6" t="s">
        <v>36</v>
      </c>
      <c r="C30" s="6"/>
      <c r="D30" s="6"/>
      <c r="E30" s="6"/>
    </row>
    <row r="31" spans="1:5" ht="19.5" customHeight="1" x14ac:dyDescent="0.2">
      <c r="A31" s="31" t="s">
        <v>37</v>
      </c>
      <c r="B31" s="6" t="s">
        <v>38</v>
      </c>
      <c r="C31" s="6"/>
      <c r="D31" s="6"/>
      <c r="E31" s="6"/>
    </row>
    <row r="32" spans="1:5" ht="19.5" customHeight="1" x14ac:dyDescent="0.2">
      <c r="A32" s="32" t="s">
        <v>39</v>
      </c>
      <c r="B32" s="6" t="s">
        <v>40</v>
      </c>
      <c r="C32" s="6"/>
      <c r="D32" s="6"/>
      <c r="E32" s="6"/>
    </row>
    <row r="33" spans="1:5" ht="19.5" customHeight="1" x14ac:dyDescent="0.2">
      <c r="A33" s="33" t="s">
        <v>41</v>
      </c>
      <c r="B33" s="6" t="s">
        <v>42</v>
      </c>
      <c r="C33" s="6"/>
      <c r="D33" s="6"/>
      <c r="E33" s="6"/>
    </row>
  </sheetData>
  <mergeCells count="19">
    <mergeCell ref="B30:E30"/>
    <mergeCell ref="B31:E31"/>
    <mergeCell ref="B32:E32"/>
    <mergeCell ref="B33:E33"/>
    <mergeCell ref="B24:E24"/>
    <mergeCell ref="B25:E25"/>
    <mergeCell ref="B26:E26"/>
    <mergeCell ref="A28:E28"/>
    <mergeCell ref="B29:E29"/>
    <mergeCell ref="A7:E7"/>
    <mergeCell ref="A19:E19"/>
    <mergeCell ref="A21:E21"/>
    <mergeCell ref="B22:E22"/>
    <mergeCell ref="B23:E23"/>
    <mergeCell ref="A1:E1"/>
    <mergeCell ref="A2:E2"/>
    <mergeCell ref="C3:E3"/>
    <mergeCell ref="C4:E4"/>
    <mergeCell ref="A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100-000000000000}">
  <dimension ref="A1:AB60"/>
  <sheetViews>
    <sheetView zoomScaleNormal="100" workbookViewId="0">
      <pane ySplit="3" topLeftCell="A4" activePane="bottomLeft" state="frozen"/>
      <selection pane="bottomLeft" activeCell="B51" sqref="B51"/>
    </sheetView>
  </sheetViews>
  <sheetFormatPr baseColWidth="10" defaultColWidth="8.6640625" defaultRowHeight="15" customHeight="1" x14ac:dyDescent="0.2"/>
  <cols>
    <col width="23" customWidth="1" min="1" max="1"/>
    <col width="10" customWidth="1" min="2" max="2"/>
    <col width="10" customWidth="1" min="3" max="3"/>
    <col width="14" customWidth="1" min="4" max="4"/>
    <col width="19.83203125" customWidth="1" min="5" max="5"/>
    <col width="12" customWidth="1" min="6" max="6"/>
    <col width="12" customWidth="1" min="7" max="7"/>
    <col width="13" customWidth="1" min="8" max="8"/>
    <col width="13" customWidth="1" min="9" max="9"/>
    <col width="17" customWidth="1" min="10" max="10"/>
    <col width="16" customWidth="1" min="11" max="11"/>
    <col width="15" customWidth="1" min="12" max="12"/>
    <col width="21" customWidth="1" min="13" max="13"/>
    <col width="19" customWidth="1" min="14" max="14"/>
    <col width="21" customWidth="1" min="15" max="15"/>
    <col width="16" customWidth="1" min="16" max="16"/>
    <col width="14" customWidth="1" min="17" max="17"/>
    <col width="12" customWidth="1" min="18" max="18"/>
    <col width="12" customWidth="1" min="19" max="19"/>
    <col width="13" customWidth="1" min="20" max="20"/>
    <col width="22" customWidth="1" min="21" max="21"/>
    <col width="14" customWidth="1" min="22" max="22"/>
    <col width="12" customWidth="1" min="23" max="23"/>
    <col width="20" customWidth="1" min="24" max="24"/>
    <col width="20" customWidth="1" min="25" max="25"/>
    <col width="20" customWidth="1" min="26" max="26"/>
    <col width="20" customWidth="1" min="27" max="27"/>
    <col width="18" customWidth="1" min="28" max="28"/>
  </cols>
  <sheetData>
    <row r="1" spans="1:28" ht="34.5" customHeight="1" x14ac:dyDescent="0.2">
      <c r="A1" s="5" t="str">
        <f>SETUP!B3&amp;" - "&amp;SETUP!B4&amp;" Renewals"</f>
        <v>RISE Citrus Ridge - March 2026 Renewals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8" ht="49.5" customHeight="1" x14ac:dyDescent="0.2">
      <c r="A2" s="34" t="inlineStr">
        <is>
          <t>Name</t>
        </is>
      </c>
      <c r="B2" s="34" t="inlineStr">
        <is>
          <t>Unit</t>
        </is>
      </c>
      <c r="C2" s="34" t="inlineStr">
        <is>
          <t>Unit
Type</t>
        </is>
      </c>
      <c r="D2" s="34" t="inlineStr">
        <is>
          <t>Expiration
Date</t>
        </is>
      </c>
      <c r="E2" s="34" t="inlineStr">
        <is>
          <t>90-Day
Notice</t>
        </is>
      </c>
      <c r="F2" s="34" t="inlineStr">
        <is>
          <t>60-Day
Notice</t>
        </is>
      </c>
      <c r="G2" s="34" t="inlineStr">
        <is>
          <t>30-Day
Notice</t>
        </is>
      </c>
      <c r="H2" s="34" t="inlineStr">
        <is>
          <t>Deposit
Held</t>
        </is>
      </c>
      <c r="I2" s="34" t="inlineStr">
        <is>
          <t>Current
Rate</t>
        </is>
      </c>
      <c r="J2" s="34" t="inlineStr">
        <is>
          <t>Recommended
Offer</t>
        </is>
      </c>
      <c r="K2" s="34" t="inlineStr">
        <is>
          <t>Investor Override
% Increase</t>
        </is>
      </c>
      <c r="L2" s="34" t="inlineStr">
        <is>
          <t>Investor Override
Offer</t>
        </is>
      </c>
      <c r="M2" s="34" t="inlineStr">
        <is>
          <t>Offer 1
Conservative</t>
        </is>
      </c>
      <c r="N2" s="34" t="inlineStr">
        <is>
          <t>Offer 2
Balanced</t>
        </is>
      </c>
      <c r="O2" s="34" t="inlineStr">
        <is>
          <t>Offer 3
Aggressive</t>
        </is>
      </c>
      <c r="P2" s="34" t="inlineStr">
        <is>
          <t>Signed
Offer</t>
        </is>
      </c>
      <c r="Q2" s="34" t="inlineStr">
        <is>
          <t>Renewal
Signed</t>
        </is>
      </c>
      <c r="R2" s="34" t="inlineStr">
        <is>
          <t>Transfer</t>
        </is>
      </c>
      <c r="S2" s="34" t="inlineStr">
        <is>
          <t>NTV
Rcv'd</t>
        </is>
      </c>
      <c r="T2" s="34" t="inlineStr">
        <is>
          <t>Phone</t>
        </is>
      </c>
      <c r="U2" s="34" t="inlineStr">
        <is>
          <t>Notes</t>
        </is>
      </c>
      <c r="V2" s="34" t="inlineStr">
        <is>
          <t>Market
Rate</t>
        </is>
      </c>
      <c r="W2" s="34" t="inlineStr">
        <is>
          <t>Budget</t>
        </is>
      </c>
      <c r="X2" s="34" t="inlineStr">
        <is>
          <t>Occupancy
(Under/Over)</t>
        </is>
      </c>
      <c r="Y2" s="34" t="inlineStr">
        <is>
          <t>Rent Growth
Offer 1</t>
        </is>
      </c>
      <c r="Z2" s="34" t="inlineStr">
        <is>
          <t>Rent Growth
Offer 2</t>
        </is>
      </c>
      <c r="AA2" s="34" t="inlineStr">
        <is>
          <t>Rent Growth
Offer 3</t>
        </is>
      </c>
      <c r="AB2" s="34" t="inlineStr">
        <is>
          <t>Signed
Rent Growth</t>
        </is>
      </c>
    </row>
    <row r="3" spans="1:28" ht="12.75" customHeight="1" x14ac:dyDescent="0.2">
      <c r="A3" s="35" t="inlineStr">
        <is>
          <t>▼ Enter</t>
        </is>
      </c>
      <c r="B3" s="35" t="inlineStr">
        <is>
          <t>▼ Enter</t>
        </is>
      </c>
      <c r="C3" s="35" t="inlineStr">
        <is>
          <t>▼ Enter</t>
        </is>
      </c>
      <c r="D3" s="35" t="inlineStr">
        <is>
          <t>▼ Enter</t>
        </is>
      </c>
      <c r="E3" s="36" t="inlineStr">
        <is>
          <t>◀ Auto</t>
        </is>
      </c>
      <c r="F3" s="36" t="inlineStr">
        <is>
          <t>◀ Auto</t>
        </is>
      </c>
      <c r="G3" s="36" t="inlineStr">
        <is>
          <t>◀ Auto</t>
        </is>
      </c>
      <c r="H3" s="35" t="inlineStr">
        <is>
          <t>▼ Enter</t>
        </is>
      </c>
      <c r="I3" s="35" t="inlineStr">
        <is>
          <t>▼ Enter</t>
        </is>
      </c>
      <c r="J3" s="36" t="inlineStr">
        <is>
          <t>◀ Auto</t>
        </is>
      </c>
      <c r="K3" s="35" t="inlineStr">
        <is>
          <t>▼ Enter</t>
        </is>
      </c>
      <c r="L3" s="36" t="inlineStr">
        <is>
          <t>◀ Auto</t>
        </is>
      </c>
      <c r="M3" s="36" t="inlineStr">
        <is>
          <t>◀ Auto</t>
        </is>
      </c>
      <c r="N3" s="36" t="inlineStr">
        <is>
          <t>◀ Auto</t>
        </is>
      </c>
      <c r="O3" s="36" t="inlineStr">
        <is>
          <t>◀ Auto</t>
        </is>
      </c>
      <c r="P3" s="35" t="inlineStr">
        <is>
          <t>▼ Select</t>
        </is>
      </c>
      <c r="Q3" s="35" t="inlineStr">
        <is>
          <t>▼ Enter</t>
        </is>
      </c>
      <c r="R3" s="35" t="inlineStr">
        <is>
          <t>▼ Enter</t>
        </is>
      </c>
      <c r="S3" s="35" t="inlineStr">
        <is>
          <t>▼ Enter</t>
        </is>
      </c>
      <c r="T3" s="35" t="inlineStr">
        <is>
          <t>▼ Enter</t>
        </is>
      </c>
      <c r="U3" s="35" t="inlineStr">
        <is>
          <t>▼ Enter</t>
        </is>
      </c>
      <c r="V3" s="36" t="inlineStr">
        <is>
          <t>◀ Auto</t>
        </is>
      </c>
      <c r="W3" s="36" t="inlineStr">
        <is>
          <t>◀ Auto</t>
        </is>
      </c>
      <c r="X3" s="36" t="inlineStr">
        <is>
          <t>◀ Auto</t>
        </is>
      </c>
      <c r="Y3" s="36" t="inlineStr">
        <is>
          <t>◀ Auto</t>
        </is>
      </c>
      <c r="Z3" s="36" t="inlineStr">
        <is>
          <t>◀ Auto</t>
        </is>
      </c>
      <c r="AA3" s="36" t="inlineStr">
        <is>
          <t>◀ Auto</t>
        </is>
      </c>
      <c r="AB3" s="36" t="inlineStr">
        <is>
          <t>◀ Auto</t>
        </is>
      </c>
    </row>
    <row r="4" spans="1:28" ht="19.5" customHeight="1" x14ac:dyDescent="0.2">
      <c r="A4" s="20" t="s">
        <v>68</v>
      </c>
      <c r="B4" s="18" t="s">
        <v>69</v>
      </c>
      <c r="C4" s="18" t="s">
        <v>18</v>
      </c>
      <c r="D4" s="37">
        <v>46173</v>
      </c>
      <c r="E4" s="38">
        <f t="shared" si="0" ref="E4:E33">IF(D4="","",D4-90)</f>
      </c>
      <c r="F4" s="38">
        <f t="shared" si="1" ref="F4:F33">IF(D4="","",D4-60)</f>
      </c>
      <c r="G4" s="38">
        <f t="shared" si="2" ref="G4:G33">IF(D4="","",D4-30)</f>
      </c>
      <c r="H4" s="39">
        <v>500</v>
      </c>
      <c r="I4" s="19">
        <v>2195</v>
      </c>
      <c r="J4" s="40" t="str">
        <f t="shared" si="3" ref="J4:J33">IF(I4="","",IF(ABS(N4-W4)&lt;=ABS(M4-W4),IF(ABS(N4-W4)&lt;=ABS(O4-W4),"Offer 2","Offer 3"),IF(ABS(M4-W4)&lt;=ABS(O4-W4),"Offer 1","Offer 3")))</f>
      </c>
      <c r="K4" s="78"/>
      <c r="L4" s="41">
        <f t="shared" si="10" ref="L4:L33">IF(OR(I4="",K4=""),"",CEILING(I4*(1+K4),5))</f>
      </c>
      <c r="M4" s="41">
        <f t="shared" si="4" ref="M4:M33">IF(I4="","",IF(X4="Under",CEILING(MAX(I4*1.02,MIN(V4,W4)*0.95),5),CEILING(MAX(I4*1.03,MIN(V4,W4)*0.97),5)))</f>
      </c>
      <c r="N4" s="41">
        <f t="shared" si="5" ref="N4:N33">IF(I4="","",IF(X4="Under",CEILING(MAX(I4*1.03,(V4+W4)/2*0.96),5),CEILING(MAX(I4*1.05,(V4+W4)/2*0.98),5)))</f>
      </c>
      <c r="O4" s="41">
        <f t="shared" si="6" ref="O4:O33">IF(I4="","",IF(X4="Under",CEILING(MAX(I4*1.05,MIN(V4,W4*1.01)),5),CEILING(MAX(I4*1.08,MIN(V4,W4*1.02)),5)))</f>
      </c>
      <c r="P4" s="18"/>
      <c r="Q4" s="18"/>
      <c r="R4" s="18"/>
      <c r="S4" s="18"/>
      <c r="T4" s="18"/>
      <c r="U4" s="18"/>
      <c r="V4" s="41">
        <f>IF(C4="","",IFERROR(VLOOKUP(C4,SETUP!$A$9:$D$18,2,0),"⚠ Check SETUP"))</f>
      </c>
      <c r="W4" s="41">
        <f>IF(C4="","",IFERROR(VLOOKUP(C4,SETUP!$A$9:$D$18,3,0),"⚠ Check SETUP"))</f>
      </c>
      <c r="X4" s="40" t="str">
        <f>IF(C4="","",IFERROR(VLOOKUP(C4,SETUP!$A$9:$D$18,4,0),"⚠ Check SETUP"))</f>
      </c>
      <c r="Y4" s="42">
        <f t="shared" si="7" ref="Y4:Y33">IF(OR(I4="",M4=""),"",(M4-I4)/I4)</f>
      </c>
      <c r="Z4" s="42">
        <f t="shared" si="8" ref="Z4:Z33">IF(OR(I4="",N4=""),"",(N4-I4)/I4)</f>
      </c>
      <c r="AA4" s="42">
        <f t="shared" si="9" ref="AA4:AA33">IF(OR(I4="",O4=""),"",(O4-I4)/I4)</f>
      </c>
      <c r="AB4" s="42">
        <f t="shared" si="11" ref="AB4:AB33">IF(OR(Q4="",S4&lt;&gt;"",P4="",I4=""),"",IF(P4="Investor Override",IF(L4="","",(L4-I4)/I4),IF(P4="Offer 1",IF(M4="","",(M4-I4)/I4),IF(P4="Offer 2",IF(N4="","",(N4-I4)/I4),IF(P4="Offer 3",IF(O4="","",(O4-I4)/I4),"")))))</f>
      </c>
    </row>
    <row r="5" spans="1:28" ht="19.5" customHeight="1" x14ac:dyDescent="0.2">
      <c r="A5" s="20" t="s">
        <v>70</v>
      </c>
      <c r="B5" s="18" t="s">
        <v>71</v>
      </c>
      <c r="C5" s="18" t="s">
        <v>15</v>
      </c>
      <c r="D5" s="37">
        <v>46174</v>
      </c>
      <c r="E5" s="38">
        <f t="shared" si="0"/>
      </c>
      <c r="F5" s="38">
        <f t="shared" si="1"/>
      </c>
      <c r="G5" s="38">
        <f t="shared" si="2"/>
      </c>
      <c r="H5" s="39">
        <v>0</v>
      </c>
      <c r="I5" s="19">
        <v>1895</v>
      </c>
      <c r="J5" s="40" t="str">
        <f t="shared" si="3"/>
      </c>
      <c r="K5" s="78"/>
      <c r="L5" s="41">
        <f t="shared" si="10"/>
      </c>
      <c r="M5" s="41">
        <f t="shared" si="4"/>
      </c>
      <c r="N5" s="41">
        <f t="shared" si="5"/>
      </c>
      <c r="O5" s="41">
        <f t="shared" si="6"/>
      </c>
      <c r="P5" s="18"/>
      <c r="Q5" s="18"/>
      <c r="R5" s="18"/>
      <c r="S5" s="18"/>
      <c r="T5" s="18"/>
      <c r="U5" s="18"/>
      <c r="V5" s="41">
        <f>IF(C5="","",IFERROR(VLOOKUP(C5,SETUP!$A$9:$D$18,2,0),"⚠ Check SETUP"))</f>
      </c>
      <c r="W5" s="41">
        <f>IF(C5="","",IFERROR(VLOOKUP(C5,SETUP!$A$9:$D$18,3,0),"⚠ Check SETUP"))</f>
      </c>
      <c r="X5" s="40" t="str">
        <f>IF(C5="","",IFERROR(VLOOKUP(C5,SETUP!$A$9:$D$18,4,0),"⚠ Check SETUP"))</f>
      </c>
      <c r="Y5" s="42">
        <f t="shared" si="7"/>
      </c>
      <c r="Z5" s="42">
        <f t="shared" si="8"/>
      </c>
      <c r="AA5" s="42">
        <f t="shared" si="9"/>
      </c>
      <c r="AB5" s="42">
        <f t="shared" si="11"/>
      </c>
    </row>
    <row r="6" spans="1:28" ht="19.5" customHeight="1" x14ac:dyDescent="0.2">
      <c r="A6" s="20" t="s">
        <v>72</v>
      </c>
      <c r="B6" s="18" t="s">
        <v>73</v>
      </c>
      <c r="C6" s="18" t="s">
        <v>18</v>
      </c>
      <c r="D6" s="37">
        <v>46177</v>
      </c>
      <c r="E6" s="38">
        <f t="shared" si="0"/>
      </c>
      <c r="F6" s="38">
        <f t="shared" si="1"/>
      </c>
      <c r="G6" s="38">
        <f t="shared" si="2"/>
      </c>
      <c r="H6" s="39">
        <v>2195</v>
      </c>
      <c r="I6" s="19">
        <v>2195</v>
      </c>
      <c r="J6" s="40" t="str">
        <f t="shared" si="3"/>
      </c>
      <c r="K6" s="78"/>
      <c r="L6" s="41">
        <f t="shared" si="10"/>
      </c>
      <c r="M6" s="41">
        <f t="shared" si="4"/>
      </c>
      <c r="N6" s="41">
        <f t="shared" si="5"/>
      </c>
      <c r="O6" s="41">
        <f t="shared" si="6"/>
      </c>
      <c r="P6" s="18"/>
      <c r="Q6" s="18"/>
      <c r="R6" s="18"/>
      <c r="S6" s="18"/>
      <c r="T6" s="18"/>
      <c r="U6" s="18"/>
      <c r="V6" s="41">
        <f>IF(C6="","",IFERROR(VLOOKUP(C6,SETUP!$A$9:$D$18,2,0),"⚠ Check SETUP"))</f>
      </c>
      <c r="W6" s="41">
        <f>IF(C6="","",IFERROR(VLOOKUP(C6,SETUP!$A$9:$D$18,3,0),"⚠ Check SETUP"))</f>
      </c>
      <c r="X6" s="40" t="str">
        <f>IF(C6="","",IFERROR(VLOOKUP(C6,SETUP!$A$9:$D$18,4,0),"⚠ Check SETUP"))</f>
      </c>
      <c r="Y6" s="42">
        <f t="shared" si="7"/>
      </c>
      <c r="Z6" s="42">
        <f t="shared" si="8"/>
      </c>
      <c r="AA6" s="42">
        <f t="shared" si="9"/>
      </c>
      <c r="AB6" s="42">
        <f t="shared" si="11"/>
      </c>
    </row>
    <row r="7" spans="1:28" ht="19.5" customHeight="1" x14ac:dyDescent="0.2">
      <c r="A7" s="20" t="s">
        <v>74</v>
      </c>
      <c r="B7" s="18" t="s">
        <v>75</v>
      </c>
      <c r="C7" s="18" t="s">
        <v>15</v>
      </c>
      <c r="D7" s="37">
        <v>46180</v>
      </c>
      <c r="E7" s="38">
        <f t="shared" si="0"/>
      </c>
      <c r="F7" s="38">
        <f t="shared" si="1"/>
      </c>
      <c r="G7" s="38">
        <f t="shared" si="2"/>
      </c>
      <c r="H7" s="39">
        <v>1895</v>
      </c>
      <c r="I7" s="19">
        <v>1895</v>
      </c>
      <c r="J7" s="40" t="str">
        <f t="shared" si="3"/>
      </c>
      <c r="K7" s="78"/>
      <c r="L7" s="41">
        <f t="shared" si="10"/>
      </c>
      <c r="M7" s="41">
        <f t="shared" si="4"/>
      </c>
      <c r="N7" s="41">
        <f t="shared" si="5"/>
      </c>
      <c r="O7" s="41">
        <f t="shared" si="6"/>
      </c>
      <c r="P7" s="18"/>
      <c r="Q7" s="18"/>
      <c r="R7" s="18"/>
      <c r="S7" s="18"/>
      <c r="T7" s="18"/>
      <c r="U7" s="18"/>
      <c r="V7" s="41">
        <f>IF(C7="","",IFERROR(VLOOKUP(C7,SETUP!$A$9:$D$18,2,0),"⚠ Check SETUP"))</f>
      </c>
      <c r="W7" s="41">
        <f>IF(C7="","",IFERROR(VLOOKUP(C7,SETUP!$A$9:$D$18,3,0),"⚠ Check SETUP"))</f>
      </c>
      <c r="X7" s="40" t="str">
        <f>IF(C7="","",IFERROR(VLOOKUP(C7,SETUP!$A$9:$D$18,4,0),"⚠ Check SETUP"))</f>
      </c>
      <c r="Y7" s="42">
        <f t="shared" si="7"/>
      </c>
      <c r="Z7" s="42">
        <f t="shared" si="8"/>
      </c>
      <c r="AA7" s="42">
        <f t="shared" si="9"/>
      </c>
      <c r="AB7" s="42">
        <f t="shared" si="11"/>
      </c>
    </row>
    <row r="8" spans="1:28" ht="19.5" customHeight="1" x14ac:dyDescent="0.2">
      <c r="A8" s="20" t="s">
        <v>76</v>
      </c>
      <c r="B8" s="18" t="s">
        <v>77</v>
      </c>
      <c r="C8" s="18" t="s">
        <v>15</v>
      </c>
      <c r="D8" s="37">
        <v>46195</v>
      </c>
      <c r="E8" s="38">
        <f t="shared" si="0"/>
      </c>
      <c r="F8" s="38">
        <f t="shared" si="1"/>
      </c>
      <c r="G8" s="38">
        <f t="shared" si="2"/>
      </c>
      <c r="H8" s="39">
        <v>0</v>
      </c>
      <c r="I8" s="19">
        <v>1895</v>
      </c>
      <c r="J8" s="40" t="str">
        <f t="shared" si="3"/>
      </c>
      <c r="K8" s="78"/>
      <c r="L8" s="41">
        <f t="shared" si="10"/>
      </c>
      <c r="M8" s="41">
        <f t="shared" si="4"/>
      </c>
      <c r="N8" s="41">
        <f t="shared" si="5"/>
      </c>
      <c r="O8" s="41">
        <f t="shared" si="6"/>
      </c>
      <c r="P8" s="18"/>
      <c r="Q8" s="18"/>
      <c r="R8" s="18"/>
      <c r="S8" s="18"/>
      <c r="T8" s="18"/>
      <c r="U8" s="18"/>
      <c r="V8" s="41">
        <f>IF(C8="","",IFERROR(VLOOKUP(C8,SETUP!$A$9:$D$18,2,0),"⚠ Check SETUP"))</f>
      </c>
      <c r="W8" s="41">
        <f>IF(C8="","",IFERROR(VLOOKUP(C8,SETUP!$A$9:$D$18,3,0),"⚠ Check SETUP"))</f>
      </c>
      <c r="X8" s="40" t="str">
        <f>IF(C8="","",IFERROR(VLOOKUP(C8,SETUP!$A$9:$D$18,4,0),"⚠ Check SETUP"))</f>
      </c>
      <c r="Y8" s="42">
        <f t="shared" si="7"/>
      </c>
      <c r="Z8" s="42">
        <f t="shared" si="8"/>
      </c>
      <c r="AA8" s="42">
        <f t="shared" si="9"/>
      </c>
      <c r="AB8" s="42">
        <f t="shared" si="11"/>
      </c>
    </row>
    <row r="9" spans="1:28" ht="19.5" customHeight="1" x14ac:dyDescent="0.2">
      <c r="A9" s="20" t="s">
        <v>78</v>
      </c>
      <c r="B9" s="18" t="s">
        <v>79</v>
      </c>
      <c r="C9" s="18" t="s">
        <v>18</v>
      </c>
      <c r="D9" s="37">
        <v>46198</v>
      </c>
      <c r="E9" s="38">
        <f t="shared" si="0"/>
      </c>
      <c r="F9" s="38">
        <f t="shared" si="1"/>
      </c>
      <c r="G9" s="38">
        <f t="shared" si="2"/>
      </c>
      <c r="H9" s="39">
        <v>0</v>
      </c>
      <c r="I9" s="19">
        <v>2195</v>
      </c>
      <c r="J9" s="40" t="str">
        <f t="shared" si="3"/>
      </c>
      <c r="K9" s="78"/>
      <c r="L9" s="41">
        <f t="shared" si="10"/>
      </c>
      <c r="M9" s="41">
        <f t="shared" si="4"/>
      </c>
      <c r="N9" s="41">
        <f t="shared" si="5"/>
      </c>
      <c r="O9" s="41">
        <f t="shared" si="6"/>
      </c>
      <c r="P9" s="18"/>
      <c r="Q9" s="18"/>
      <c r="R9" s="18"/>
      <c r="S9" s="18"/>
      <c r="T9" s="18"/>
      <c r="U9" s="18"/>
      <c r="V9" s="41">
        <f>IF(C9="","",IFERROR(VLOOKUP(C9,SETUP!$A$9:$D$18,2,0),"⚠ Check SETUP"))</f>
      </c>
      <c r="W9" s="41">
        <f>IF(C9="","",IFERROR(VLOOKUP(C9,SETUP!$A$9:$D$18,3,0),"⚠ Check SETUP"))</f>
      </c>
      <c r="X9" s="40" t="str">
        <f>IF(C9="","",IFERROR(VLOOKUP(C9,SETUP!$A$9:$D$18,4,0),"⚠ Check SETUP"))</f>
      </c>
      <c r="Y9" s="42">
        <f t="shared" si="7"/>
      </c>
      <c r="Z9" s="42">
        <f t="shared" si="8"/>
      </c>
      <c r="AA9" s="42">
        <f t="shared" si="9"/>
      </c>
      <c r="AB9" s="42">
        <f t="shared" si="11"/>
      </c>
    </row>
    <row r="10" spans="1:28" ht="19.5" customHeight="1" x14ac:dyDescent="0.2">
      <c r="A10" s="20" t="s">
        <v>80</v>
      </c>
      <c r="B10" s="18" t="s">
        <v>81</v>
      </c>
      <c r="C10" s="18" t="s">
        <v>18</v>
      </c>
      <c r="D10" s="37">
        <v>46203</v>
      </c>
      <c r="E10" s="38">
        <f t="shared" si="0"/>
      </c>
      <c r="F10" s="38">
        <f t="shared" si="1"/>
      </c>
      <c r="G10" s="38">
        <f t="shared" si="2"/>
      </c>
      <c r="H10" s="39">
        <v>0</v>
      </c>
      <c r="I10" s="19">
        <v>2195</v>
      </c>
      <c r="J10" s="40" t="str">
        <f t="shared" si="3"/>
      </c>
      <c r="K10" s="78"/>
      <c r="L10" s="41">
        <f t="shared" si="10"/>
      </c>
      <c r="M10" s="41">
        <f t="shared" si="4"/>
      </c>
      <c r="N10" s="41">
        <f t="shared" si="5"/>
      </c>
      <c r="O10" s="41">
        <f t="shared" si="6"/>
      </c>
      <c r="P10" s="18"/>
      <c r="Q10" s="18"/>
      <c r="R10" s="18"/>
      <c r="S10" s="18"/>
      <c r="T10" s="18"/>
      <c r="U10" s="18"/>
      <c r="V10" s="41">
        <f>IF(C10="","",IFERROR(VLOOKUP(C10,SETUP!$A$9:$D$18,2,0),"⚠ Check SETUP"))</f>
      </c>
      <c r="W10" s="41">
        <f>IF(C10="","",IFERROR(VLOOKUP(C10,SETUP!$A$9:$D$18,3,0),"⚠ Check SETUP"))</f>
      </c>
      <c r="X10" s="40" t="str">
        <f>IF(C10="","",IFERROR(VLOOKUP(C10,SETUP!$A$9:$D$18,4,0),"⚠ Check SETUP"))</f>
      </c>
      <c r="Y10" s="42">
        <f t="shared" si="7"/>
      </c>
      <c r="Z10" s="42">
        <f t="shared" si="8"/>
      </c>
      <c r="AA10" s="42">
        <f t="shared" si="9"/>
      </c>
      <c r="AB10" s="42">
        <f t="shared" si="11"/>
      </c>
    </row>
    <row r="11" spans="1:28" ht="19.5" customHeight="1" x14ac:dyDescent="0.2">
      <c r="A11" s="20" t="s">
        <v>82</v>
      </c>
      <c r="B11" s="18" t="s">
        <v>83</v>
      </c>
      <c r="C11" s="18" t="s">
        <v>15</v>
      </c>
      <c r="D11" s="37">
        <v>46213</v>
      </c>
      <c r="E11" s="38">
        <f t="shared" si="0"/>
      </c>
      <c r="F11" s="38">
        <f t="shared" si="1"/>
      </c>
      <c r="G11" s="38">
        <f t="shared" si="2"/>
      </c>
      <c r="H11" s="39">
        <v>0</v>
      </c>
      <c r="I11" s="19">
        <v>1895</v>
      </c>
      <c r="J11" s="40" t="str">
        <f t="shared" si="3"/>
      </c>
      <c r="K11" s="78"/>
      <c r="L11" s="41">
        <f t="shared" si="10"/>
      </c>
      <c r="M11" s="41">
        <f t="shared" si="4"/>
      </c>
      <c r="N11" s="41">
        <f t="shared" si="5"/>
      </c>
      <c r="O11" s="41">
        <f t="shared" si="6"/>
      </c>
      <c r="P11" s="18"/>
      <c r="Q11" s="18"/>
      <c r="R11" s="18"/>
      <c r="S11" s="18"/>
      <c r="T11" s="18"/>
      <c r="U11" s="18"/>
      <c r="V11" s="41">
        <f>IF(C11="","",IFERROR(VLOOKUP(C11,SETUP!$A$9:$D$18,2,0),"⚠ Check SETUP"))</f>
      </c>
      <c r="W11" s="41">
        <f>IF(C11="","",IFERROR(VLOOKUP(C11,SETUP!$A$9:$D$18,3,0),"⚠ Check SETUP"))</f>
      </c>
      <c r="X11" s="40" t="str">
        <f>IF(C11="","",IFERROR(VLOOKUP(C11,SETUP!$A$9:$D$18,4,0),"⚠ Check SETUP"))</f>
      </c>
      <c r="Y11" s="42">
        <f t="shared" si="7"/>
      </c>
      <c r="Z11" s="42">
        <f t="shared" si="8"/>
      </c>
      <c r="AA11" s="42">
        <f t="shared" si="9"/>
      </c>
      <c r="AB11" s="42">
        <f t="shared" si="11"/>
      </c>
    </row>
    <row r="12" spans="1:28" ht="19.5" customHeight="1" x14ac:dyDescent="0.2">
      <c r="A12" s="20" t="s">
        <v>84</v>
      </c>
      <c r="B12" s="18" t="s">
        <v>85</v>
      </c>
      <c r="C12" s="18" t="s">
        <v>18</v>
      </c>
      <c r="D12" s="37">
        <v>46215</v>
      </c>
      <c r="E12" s="38">
        <f t="shared" si="0"/>
      </c>
      <c r="F12" s="38">
        <f t="shared" si="1"/>
      </c>
      <c r="G12" s="38">
        <f t="shared" si="2"/>
      </c>
      <c r="H12" s="39">
        <v>500</v>
      </c>
      <c r="I12" s="19">
        <v>2395</v>
      </c>
      <c r="J12" s="40" t="str">
        <f t="shared" si="3"/>
      </c>
      <c r="K12" s="78"/>
      <c r="L12" s="41">
        <f t="shared" si="10"/>
      </c>
      <c r="M12" s="41">
        <f t="shared" si="4"/>
      </c>
      <c r="N12" s="41">
        <f t="shared" si="5"/>
      </c>
      <c r="O12" s="41">
        <f t="shared" si="6"/>
      </c>
      <c r="P12" s="18"/>
      <c r="Q12" s="18"/>
      <c r="R12" s="18"/>
      <c r="S12" s="18"/>
      <c r="T12" s="18"/>
      <c r="U12" s="18"/>
      <c r="V12" s="41">
        <f>IF(C12="","",IFERROR(VLOOKUP(C12,SETUP!$A$9:$D$18,2,0),"⚠ Check SETUP"))</f>
      </c>
      <c r="W12" s="41">
        <f>IF(C12="","",IFERROR(VLOOKUP(C12,SETUP!$A$9:$D$18,3,0),"⚠ Check SETUP"))</f>
      </c>
      <c r="X12" s="40" t="str">
        <f>IF(C12="","",IFERROR(VLOOKUP(C12,SETUP!$A$9:$D$18,4,0),"⚠ Check SETUP"))</f>
      </c>
      <c r="Y12" s="42">
        <f t="shared" si="7"/>
      </c>
      <c r="Z12" s="42">
        <f t="shared" si="8"/>
      </c>
      <c r="AA12" s="42">
        <f t="shared" si="9"/>
      </c>
      <c r="AB12" s="42">
        <f t="shared" si="11"/>
      </c>
    </row>
    <row r="13" spans="1:28" ht="19.5" customHeight="1" x14ac:dyDescent="0.2">
      <c r="A13" s="20" t="s">
        <v>86</v>
      </c>
      <c r="B13" s="18" t="s">
        <v>87</v>
      </c>
      <c r="C13" s="18" t="s">
        <v>18</v>
      </c>
      <c r="D13" s="37">
        <v>46228</v>
      </c>
      <c r="E13" s="38">
        <f t="shared" si="0"/>
      </c>
      <c r="F13" s="38">
        <f t="shared" si="1"/>
      </c>
      <c r="G13" s="38">
        <f t="shared" si="2"/>
      </c>
      <c r="H13" s="39">
        <v>0</v>
      </c>
      <c r="I13" s="19">
        <v>2395</v>
      </c>
      <c r="J13" s="40" t="str">
        <f t="shared" si="3"/>
      </c>
      <c r="K13" s="78"/>
      <c r="L13" s="41">
        <f t="shared" si="10"/>
      </c>
      <c r="M13" s="41">
        <f t="shared" si="4"/>
      </c>
      <c r="N13" s="41">
        <f t="shared" si="5"/>
      </c>
      <c r="O13" s="41">
        <f t="shared" si="6"/>
      </c>
      <c r="P13" s="18"/>
      <c r="Q13" s="18"/>
      <c r="R13" s="18"/>
      <c r="S13" s="18"/>
      <c r="T13" s="18"/>
      <c r="U13" s="18"/>
      <c r="V13" s="41">
        <f>IF(C13="","",IFERROR(VLOOKUP(C13,SETUP!$A$9:$D$18,2,0),"⚠ Check SETUP"))</f>
      </c>
      <c r="W13" s="41">
        <f>IF(C13="","",IFERROR(VLOOKUP(C13,SETUP!$A$9:$D$18,3,0),"⚠ Check SETUP"))</f>
      </c>
      <c r="X13" s="40" t="str">
        <f>IF(C13="","",IFERROR(VLOOKUP(C13,SETUP!$A$9:$D$18,4,0),"⚠ Check SETUP"))</f>
      </c>
      <c r="Y13" s="42">
        <f t="shared" si="7"/>
      </c>
      <c r="Z13" s="42">
        <f t="shared" si="8"/>
      </c>
      <c r="AA13" s="42">
        <f t="shared" si="9"/>
      </c>
      <c r="AB13" s="42">
        <f t="shared" si="11"/>
      </c>
    </row>
    <row r="14" spans="1:28" ht="19.5" customHeight="1" x14ac:dyDescent="0.2">
      <c r="A14" s="20" t="s">
        <v>88</v>
      </c>
      <c r="B14" s="18" t="s">
        <v>89</v>
      </c>
      <c r="C14" s="18" t="s">
        <v>18</v>
      </c>
      <c r="D14" s="37">
        <v>46232</v>
      </c>
      <c r="E14" s="38">
        <f t="shared" si="0"/>
      </c>
      <c r="F14" s="38">
        <f t="shared" si="1"/>
      </c>
      <c r="G14" s="38">
        <f t="shared" si="2"/>
      </c>
      <c r="H14" s="39">
        <v>0</v>
      </c>
      <c r="I14" s="19">
        <v>2195</v>
      </c>
      <c r="J14" s="40" t="str">
        <f t="shared" si="3"/>
      </c>
      <c r="K14" s="78"/>
      <c r="L14" s="41">
        <f t="shared" si="10"/>
      </c>
      <c r="M14" s="41">
        <f t="shared" si="4"/>
      </c>
      <c r="N14" s="41">
        <f t="shared" si="5"/>
      </c>
      <c r="O14" s="41">
        <f t="shared" si="6"/>
      </c>
      <c r="P14" s="18"/>
      <c r="Q14" s="18"/>
      <c r="R14" s="18"/>
      <c r="S14" s="18"/>
      <c r="T14" s="18"/>
      <c r="U14" s="18"/>
      <c r="V14" s="41">
        <f>IF(C14="","",IFERROR(VLOOKUP(C14,SETUP!$A$9:$D$18,2,0),"⚠ Check SETUP"))</f>
      </c>
      <c r="W14" s="41">
        <f>IF(C14="","",IFERROR(VLOOKUP(C14,SETUP!$A$9:$D$18,3,0),"⚠ Check SETUP"))</f>
      </c>
      <c r="X14" s="40" t="str">
        <f>IF(C14="","",IFERROR(VLOOKUP(C14,SETUP!$A$9:$D$18,4,0),"⚠ Check SETUP"))</f>
      </c>
      <c r="Y14" s="42">
        <f t="shared" si="7"/>
      </c>
      <c r="Z14" s="42">
        <f t="shared" si="8"/>
      </c>
      <c r="AA14" s="42">
        <f t="shared" si="9"/>
      </c>
      <c r="AB14" s="42">
        <f t="shared" si="11"/>
      </c>
    </row>
    <row r="15" spans="1:28" ht="19.5" customHeight="1" x14ac:dyDescent="0.2">
      <c r="A15" s="20" t="s">
        <v>90</v>
      </c>
      <c r="B15" s="18" t="s">
        <v>91</v>
      </c>
      <c r="C15" s="18" t="s">
        <v>18</v>
      </c>
      <c r="D15" s="37">
        <v>46232</v>
      </c>
      <c r="E15" s="38">
        <f t="shared" si="0"/>
      </c>
      <c r="F15" s="38">
        <f t="shared" si="1"/>
      </c>
      <c r="G15" s="38">
        <f t="shared" si="2"/>
      </c>
      <c r="H15" s="39">
        <v>0</v>
      </c>
      <c r="I15" s="19">
        <v>2095</v>
      </c>
      <c r="J15" s="40" t="str">
        <f t="shared" si="3"/>
      </c>
      <c r="K15" s="78"/>
      <c r="L15" s="41">
        <f t="shared" si="10"/>
      </c>
      <c r="M15" s="41">
        <f t="shared" si="4"/>
      </c>
      <c r="N15" s="41">
        <f t="shared" si="5"/>
      </c>
      <c r="O15" s="41">
        <f t="shared" si="6"/>
      </c>
      <c r="P15" s="18"/>
      <c r="Q15" s="18"/>
      <c r="R15" s="18"/>
      <c r="S15" s="18"/>
      <c r="T15" s="18"/>
      <c r="U15" s="18"/>
      <c r="V15" s="41">
        <f>IF(C15="","",IFERROR(VLOOKUP(C15,SETUP!$A$9:$D$18,2,0),"⚠ Check SETUP"))</f>
      </c>
      <c r="W15" s="41">
        <f>IF(C15="","",IFERROR(VLOOKUP(C15,SETUP!$A$9:$D$18,3,0),"⚠ Check SETUP"))</f>
      </c>
      <c r="X15" s="40" t="str">
        <f>IF(C15="","",IFERROR(VLOOKUP(C15,SETUP!$A$9:$D$18,4,0),"⚠ Check SETUP"))</f>
      </c>
      <c r="Y15" s="42">
        <f t="shared" si="7"/>
      </c>
      <c r="Z15" s="42">
        <f t="shared" si="8"/>
      </c>
      <c r="AA15" s="42">
        <f t="shared" si="9"/>
      </c>
      <c r="AB15" s="42">
        <f t="shared" si="11"/>
      </c>
    </row>
    <row r="16" spans="1:28" ht="19.5" customHeight="1" x14ac:dyDescent="0.2">
      <c r="A16" s="20" t="s">
        <v>92</v>
      </c>
      <c r="B16" s="18" t="s">
        <v>93</v>
      </c>
      <c r="C16" s="18" t="s">
        <v>18</v>
      </c>
      <c r="D16" s="37">
        <v>46234</v>
      </c>
      <c r="E16" s="38">
        <f t="shared" si="0"/>
      </c>
      <c r="F16" s="38">
        <f t="shared" si="1"/>
      </c>
      <c r="G16" s="38">
        <f t="shared" si="2"/>
      </c>
      <c r="H16" s="39">
        <v>0</v>
      </c>
      <c r="I16" s="19">
        <v>2395</v>
      </c>
      <c r="J16" s="40" t="str">
        <f t="shared" si="3"/>
      </c>
      <c r="K16" s="78"/>
      <c r="L16" s="41">
        <f t="shared" si="10"/>
      </c>
      <c r="M16" s="41">
        <f t="shared" si="4"/>
      </c>
      <c r="N16" s="41">
        <f t="shared" si="5"/>
      </c>
      <c r="O16" s="41">
        <f t="shared" si="6"/>
      </c>
      <c r="P16" s="18"/>
      <c r="Q16" s="18"/>
      <c r="R16" s="18"/>
      <c r="S16" s="18"/>
      <c r="T16" s="18"/>
      <c r="U16" s="18"/>
      <c r="V16" s="41">
        <f>IF(C16="","",IFERROR(VLOOKUP(C16,SETUP!$A$9:$D$18,2,0),"⚠ Check SETUP"))</f>
      </c>
      <c r="W16" s="41">
        <f>IF(C16="","",IFERROR(VLOOKUP(C16,SETUP!$A$9:$D$18,3,0),"⚠ Check SETUP"))</f>
      </c>
      <c r="X16" s="40" t="str">
        <f>IF(C16="","",IFERROR(VLOOKUP(C16,SETUP!$A$9:$D$18,4,0),"⚠ Check SETUP"))</f>
      </c>
      <c r="Y16" s="42">
        <f t="shared" si="7"/>
      </c>
      <c r="Z16" s="42">
        <f t="shared" si="8"/>
      </c>
      <c r="AA16" s="42">
        <f t="shared" si="9"/>
      </c>
      <c r="AB16" s="42">
        <f t="shared" si="11"/>
      </c>
    </row>
    <row r="17" spans="1:28" ht="19.5" customHeight="1" x14ac:dyDescent="0.2">
      <c r="A17" s="20" t="s">
        <v>94</v>
      </c>
      <c r="B17" s="18" t="s">
        <v>95</v>
      </c>
      <c r="C17" s="18" t="s">
        <v>18</v>
      </c>
      <c r="D17" s="37">
        <v>46234</v>
      </c>
      <c r="E17" s="38">
        <f t="shared" si="0"/>
      </c>
      <c r="F17" s="38">
        <f t="shared" si="1"/>
      </c>
      <c r="G17" s="38">
        <f t="shared" si="2"/>
      </c>
      <c r="H17" s="39">
        <v>2195</v>
      </c>
      <c r="I17" s="19">
        <v>2195</v>
      </c>
      <c r="J17" s="40" t="str">
        <f t="shared" si="3"/>
      </c>
      <c r="K17" s="78"/>
      <c r="L17" s="41">
        <f t="shared" si="10"/>
      </c>
      <c r="M17" s="41">
        <f t="shared" si="4"/>
      </c>
      <c r="N17" s="41">
        <f t="shared" si="5"/>
      </c>
      <c r="O17" s="41">
        <f t="shared" si="6"/>
      </c>
      <c r="P17" s="18"/>
      <c r="Q17" s="18"/>
      <c r="R17" s="18"/>
      <c r="S17" s="18"/>
      <c r="T17" s="18"/>
      <c r="U17" s="18"/>
      <c r="V17" s="41">
        <f>IF(C17="","",IFERROR(VLOOKUP(C17,SETUP!$A$9:$D$18,2,0),"⚠ Check SETUP"))</f>
      </c>
      <c r="W17" s="41">
        <f>IF(C17="","",IFERROR(VLOOKUP(C17,SETUP!$A$9:$D$18,3,0),"⚠ Check SETUP"))</f>
      </c>
      <c r="X17" s="40" t="str">
        <f>IF(C17="","",IFERROR(VLOOKUP(C17,SETUP!$A$9:$D$18,4,0),"⚠ Check SETUP"))</f>
      </c>
      <c r="Y17" s="42">
        <f t="shared" si="7"/>
      </c>
      <c r="Z17" s="42">
        <f t="shared" si="8"/>
      </c>
      <c r="AA17" s="42">
        <f t="shared" si="9"/>
      </c>
      <c r="AB17" s="42">
        <f t="shared" si="11"/>
      </c>
    </row>
    <row r="18" spans="1:28" ht="19.5" customHeight="1" x14ac:dyDescent="0.2">
      <c r="A18" s="20"/>
      <c r="B18" s="18"/>
      <c r="C18" s="18"/>
      <c r="D18" s="37"/>
      <c r="E18" s="38">
        <f t="shared" si="0"/>
      </c>
      <c r="F18" s="38">
        <f t="shared" si="1"/>
      </c>
      <c r="G18" s="38">
        <f t="shared" si="2"/>
      </c>
      <c r="H18" s="39"/>
      <c r="I18" s="19"/>
      <c r="J18" s="40" t="str">
        <f t="shared" si="3"/>
      </c>
      <c r="K18" s="78"/>
      <c r="L18" s="41">
        <f t="shared" si="10"/>
      </c>
      <c r="M18" s="41">
        <f t="shared" si="4"/>
      </c>
      <c r="N18" s="41">
        <f t="shared" si="5"/>
      </c>
      <c r="O18" s="41">
        <f t="shared" si="6"/>
      </c>
      <c r="P18" s="18"/>
      <c r="Q18" s="18"/>
      <c r="R18" s="18"/>
      <c r="S18" s="18"/>
      <c r="T18" s="18"/>
      <c r="U18" s="18"/>
      <c r="V18" s="41">
        <f>IF(C18="","",IFERROR(VLOOKUP(C18,SETUP!$A$9:$D$18,2,0),"⚠ Check SETUP"))</f>
      </c>
      <c r="W18" s="41">
        <f>IF(C18="","",IFERROR(VLOOKUP(C18,SETUP!$A$9:$D$18,3,0),"⚠ Check SETUP"))</f>
      </c>
      <c r="X18" s="40" t="str">
        <f>IF(C18="","",IFERROR(VLOOKUP(C18,SETUP!$A$9:$D$18,4,0),"⚠ Check SETUP"))</f>
      </c>
      <c r="Y18" s="42">
        <f t="shared" si="7"/>
      </c>
      <c r="Z18" s="42">
        <f t="shared" si="8"/>
      </c>
      <c r="AA18" s="42">
        <f t="shared" si="9"/>
      </c>
      <c r="AB18" s="42">
        <f t="shared" si="11"/>
      </c>
    </row>
    <row r="19" spans="1:28" ht="19.5" customHeight="1" x14ac:dyDescent="0.2">
      <c r="A19" s="20"/>
      <c r="B19" s="18"/>
      <c r="C19" s="18"/>
      <c r="D19" s="37"/>
      <c r="E19" s="38">
        <f t="shared" si="0"/>
      </c>
      <c r="F19" s="38">
        <f t="shared" si="1"/>
      </c>
      <c r="G19" s="38">
        <f t="shared" si="2"/>
      </c>
      <c r="H19" s="39"/>
      <c r="I19" s="19"/>
      <c r="J19" s="40" t="str">
        <f t="shared" si="3"/>
      </c>
      <c r="K19" s="78"/>
      <c r="L19" s="41">
        <f t="shared" si="10"/>
      </c>
      <c r="M19" s="41">
        <f t="shared" si="4"/>
      </c>
      <c r="N19" s="41">
        <f t="shared" si="5"/>
      </c>
      <c r="O19" s="41">
        <f t="shared" si="6"/>
      </c>
      <c r="P19" s="18"/>
      <c r="Q19" s="18"/>
      <c r="R19" s="18"/>
      <c r="S19" s="18"/>
      <c r="T19" s="18"/>
      <c r="U19" s="18"/>
      <c r="V19" s="41">
        <f>IF(C19="","",IFERROR(VLOOKUP(C19,SETUP!$A$9:$D$18,2,0),"⚠ Check SETUP"))</f>
      </c>
      <c r="W19" s="41">
        <f>IF(C19="","",IFERROR(VLOOKUP(C19,SETUP!$A$9:$D$18,3,0),"⚠ Check SETUP"))</f>
      </c>
      <c r="X19" s="40" t="str">
        <f>IF(C19="","",IFERROR(VLOOKUP(C19,SETUP!$A$9:$D$18,4,0),"⚠ Check SETUP"))</f>
      </c>
      <c r="Y19" s="42">
        <f t="shared" si="7"/>
      </c>
      <c r="Z19" s="42">
        <f t="shared" si="8"/>
      </c>
      <c r="AA19" s="42">
        <f t="shared" si="9"/>
      </c>
      <c r="AB19" s="42">
        <f t="shared" si="11"/>
      </c>
    </row>
    <row r="20" spans="1:28" ht="19.5" customHeight="1" x14ac:dyDescent="0.2">
      <c r="A20" s="20"/>
      <c r="B20" s="18"/>
      <c r="C20" s="18"/>
      <c r="D20" s="37"/>
      <c r="E20" s="38">
        <f t="shared" si="0"/>
      </c>
      <c r="F20" s="38">
        <f t="shared" si="1"/>
      </c>
      <c r="G20" s="38">
        <f t="shared" si="2"/>
      </c>
      <c r="H20" s="39"/>
      <c r="I20" s="19"/>
      <c r="J20" s="40" t="str">
        <f t="shared" si="3"/>
      </c>
      <c r="K20" s="78"/>
      <c r="L20" s="41">
        <f t="shared" si="10"/>
      </c>
      <c r="M20" s="41">
        <f t="shared" si="4"/>
      </c>
      <c r="N20" s="41">
        <f t="shared" si="5"/>
      </c>
      <c r="O20" s="41">
        <f t="shared" si="6"/>
      </c>
      <c r="P20" s="18"/>
      <c r="Q20" s="18"/>
      <c r="R20" s="18"/>
      <c r="S20" s="18"/>
      <c r="T20" s="18"/>
      <c r="U20" s="18"/>
      <c r="V20" s="41">
        <f>IF(C20="","",IFERROR(VLOOKUP(C20,SETUP!$A$9:$D$18,2,0),"⚠ Check SETUP"))</f>
      </c>
      <c r="W20" s="41">
        <f>IF(C20="","",IFERROR(VLOOKUP(C20,SETUP!$A$9:$D$18,3,0),"⚠ Check SETUP"))</f>
      </c>
      <c r="X20" s="40" t="str">
        <f>IF(C20="","",IFERROR(VLOOKUP(C20,SETUP!$A$9:$D$18,4,0),"⚠ Check SETUP"))</f>
      </c>
      <c r="Y20" s="42">
        <f t="shared" si="7"/>
      </c>
      <c r="Z20" s="42">
        <f t="shared" si="8"/>
      </c>
      <c r="AA20" s="42">
        <f t="shared" si="9"/>
      </c>
      <c r="AB20" s="42">
        <f t="shared" si="11"/>
      </c>
    </row>
    <row r="21" spans="1:28" ht="19.5" customHeight="1" x14ac:dyDescent="0.2">
      <c r="A21" s="20"/>
      <c r="B21" s="18"/>
      <c r="C21" s="18"/>
      <c r="D21" s="37"/>
      <c r="E21" s="38">
        <f t="shared" si="0"/>
      </c>
      <c r="F21" s="38">
        <f t="shared" si="1"/>
      </c>
      <c r="G21" s="38">
        <f t="shared" si="2"/>
      </c>
      <c r="H21" s="39"/>
      <c r="I21" s="19"/>
      <c r="J21" s="40" t="str">
        <f t="shared" si="3"/>
      </c>
      <c r="K21" s="78"/>
      <c r="L21" s="41">
        <f t="shared" si="10"/>
      </c>
      <c r="M21" s="41">
        <f t="shared" si="4"/>
      </c>
      <c r="N21" s="41">
        <f t="shared" si="5"/>
      </c>
      <c r="O21" s="41">
        <f t="shared" si="6"/>
      </c>
      <c r="P21" s="18"/>
      <c r="Q21" s="18"/>
      <c r="R21" s="18"/>
      <c r="S21" s="18"/>
      <c r="T21" s="18"/>
      <c r="U21" s="18"/>
      <c r="V21" s="41">
        <f>IF(C21="","",IFERROR(VLOOKUP(C21,SETUP!$A$9:$D$18,2,0),"⚠ Check SETUP"))</f>
      </c>
      <c r="W21" s="41">
        <f>IF(C21="","",IFERROR(VLOOKUP(C21,SETUP!$A$9:$D$18,3,0),"⚠ Check SETUP"))</f>
      </c>
      <c r="X21" s="40" t="str">
        <f>IF(C21="","",IFERROR(VLOOKUP(C21,SETUP!$A$9:$D$18,4,0),"⚠ Check SETUP"))</f>
      </c>
      <c r="Y21" s="42">
        <f t="shared" si="7"/>
      </c>
      <c r="Z21" s="42">
        <f t="shared" si="8"/>
      </c>
      <c r="AA21" s="42">
        <f t="shared" si="9"/>
      </c>
      <c r="AB21" s="42">
        <f t="shared" si="11"/>
      </c>
    </row>
    <row r="22" spans="1:28" ht="19.5" customHeight="1" x14ac:dyDescent="0.2">
      <c r="A22" s="20"/>
      <c r="B22" s="18"/>
      <c r="C22" s="18"/>
      <c r="D22" s="37"/>
      <c r="E22" s="38">
        <f t="shared" si="0"/>
      </c>
      <c r="F22" s="38">
        <f t="shared" si="1"/>
      </c>
      <c r="G22" s="38">
        <f t="shared" si="2"/>
      </c>
      <c r="H22" s="39"/>
      <c r="I22" s="19"/>
      <c r="J22" s="40" t="str">
        <f t="shared" si="3"/>
      </c>
      <c r="K22" s="78"/>
      <c r="L22" s="41">
        <f t="shared" si="10"/>
      </c>
      <c r="M22" s="41">
        <f t="shared" si="4"/>
      </c>
      <c r="N22" s="41">
        <f t="shared" si="5"/>
      </c>
      <c r="O22" s="41">
        <f t="shared" si="6"/>
      </c>
      <c r="P22" s="18"/>
      <c r="Q22" s="18"/>
      <c r="R22" s="18"/>
      <c r="S22" s="18"/>
      <c r="T22" s="18"/>
      <c r="U22" s="18"/>
      <c r="V22" s="41">
        <f>IF(C22="","",IFERROR(VLOOKUP(C22,SETUP!$A$9:$D$18,2,0),"⚠ Check SETUP"))</f>
      </c>
      <c r="W22" s="41">
        <f>IF(C22="","",IFERROR(VLOOKUP(C22,SETUP!$A$9:$D$18,3,0),"⚠ Check SETUP"))</f>
      </c>
      <c r="X22" s="40" t="str">
        <f>IF(C22="","",IFERROR(VLOOKUP(C22,SETUP!$A$9:$D$18,4,0),"⚠ Check SETUP"))</f>
      </c>
      <c r="Y22" s="42">
        <f t="shared" si="7"/>
      </c>
      <c r="Z22" s="42">
        <f t="shared" si="8"/>
      </c>
      <c r="AA22" s="42">
        <f t="shared" si="9"/>
      </c>
      <c r="AB22" s="42">
        <f t="shared" si="11"/>
      </c>
    </row>
    <row r="23" spans="1:28" ht="19.5" customHeight="1" x14ac:dyDescent="0.2">
      <c r="A23" s="20"/>
      <c r="B23" s="18"/>
      <c r="C23" s="18"/>
      <c r="D23" s="37"/>
      <c r="E23" s="38">
        <f t="shared" si="0"/>
      </c>
      <c r="F23" s="38">
        <f t="shared" si="1"/>
      </c>
      <c r="G23" s="38">
        <f t="shared" si="2"/>
      </c>
      <c r="H23" s="39"/>
      <c r="I23" s="19"/>
      <c r="J23" s="40" t="str">
        <f t="shared" si="3"/>
      </c>
      <c r="K23" s="78"/>
      <c r="L23" s="41">
        <f t="shared" si="10"/>
      </c>
      <c r="M23" s="41">
        <f t="shared" si="4"/>
      </c>
      <c r="N23" s="41">
        <f t="shared" si="5"/>
      </c>
      <c r="O23" s="41">
        <f t="shared" si="6"/>
      </c>
      <c r="P23" s="18"/>
      <c r="Q23" s="18"/>
      <c r="R23" s="18"/>
      <c r="S23" s="18"/>
      <c r="T23" s="18"/>
      <c r="U23" s="18"/>
      <c r="V23" s="41">
        <f>IF(C23="","",IFERROR(VLOOKUP(C23,SETUP!$A$9:$D$18,2,0),"⚠ Check SETUP"))</f>
      </c>
      <c r="W23" s="41">
        <f>IF(C23="","",IFERROR(VLOOKUP(C23,SETUP!$A$9:$D$18,3,0),"⚠ Check SETUP"))</f>
      </c>
      <c r="X23" s="40" t="str">
        <f>IF(C23="","",IFERROR(VLOOKUP(C23,SETUP!$A$9:$D$18,4,0),"⚠ Check SETUP"))</f>
      </c>
      <c r="Y23" s="42">
        <f t="shared" si="7"/>
      </c>
      <c r="Z23" s="42">
        <f t="shared" si="8"/>
      </c>
      <c r="AA23" s="42">
        <f t="shared" si="9"/>
      </c>
      <c r="AB23" s="42">
        <f t="shared" si="11"/>
      </c>
    </row>
    <row r="24" spans="1:28" ht="19.5" customHeight="1" x14ac:dyDescent="0.2">
      <c r="A24" s="20"/>
      <c r="B24" s="18"/>
      <c r="C24" s="18"/>
      <c r="D24" s="37"/>
      <c r="E24" s="38">
        <f t="shared" si="0"/>
      </c>
      <c r="F24" s="38">
        <f t="shared" si="1"/>
      </c>
      <c r="G24" s="38">
        <f t="shared" si="2"/>
      </c>
      <c r="H24" s="39"/>
      <c r="I24" s="19"/>
      <c r="J24" s="40" t="str">
        <f t="shared" si="3"/>
      </c>
      <c r="K24" s="78"/>
      <c r="L24" s="41">
        <f t="shared" si="10"/>
      </c>
      <c r="M24" s="41">
        <f t="shared" si="4"/>
      </c>
      <c r="N24" s="41">
        <f t="shared" si="5"/>
      </c>
      <c r="O24" s="41">
        <f t="shared" si="6"/>
      </c>
      <c r="P24" s="18"/>
      <c r="Q24" s="18"/>
      <c r="R24" s="18"/>
      <c r="S24" s="18"/>
      <c r="T24" s="18"/>
      <c r="U24" s="18"/>
      <c r="V24" s="41">
        <f>IF(C24="","",IFERROR(VLOOKUP(C24,SETUP!$A$9:$D$18,2,0),"⚠ Check SETUP"))</f>
      </c>
      <c r="W24" s="41">
        <f>IF(C24="","",IFERROR(VLOOKUP(C24,SETUP!$A$9:$D$18,3,0),"⚠ Check SETUP"))</f>
      </c>
      <c r="X24" s="40" t="str">
        <f>IF(C24="","",IFERROR(VLOOKUP(C24,SETUP!$A$9:$D$18,4,0),"⚠ Check SETUP"))</f>
      </c>
      <c r="Y24" s="42">
        <f t="shared" si="7"/>
      </c>
      <c r="Z24" s="42">
        <f t="shared" si="8"/>
      </c>
      <c r="AA24" s="42">
        <f t="shared" si="9"/>
      </c>
      <c r="AB24" s="42">
        <f t="shared" si="11"/>
      </c>
    </row>
    <row r="25" spans="1:28" ht="19.5" customHeight="1" x14ac:dyDescent="0.2">
      <c r="A25" s="20"/>
      <c r="B25" s="18"/>
      <c r="C25" s="18"/>
      <c r="D25" s="37"/>
      <c r="E25" s="38">
        <f t="shared" si="0"/>
      </c>
      <c r="F25" s="38">
        <f t="shared" si="1"/>
      </c>
      <c r="G25" s="38">
        <f t="shared" si="2"/>
      </c>
      <c r="H25" s="39"/>
      <c r="I25" s="19"/>
      <c r="J25" s="40" t="str">
        <f t="shared" si="3"/>
      </c>
      <c r="K25" s="78"/>
      <c r="L25" s="41">
        <f t="shared" si="10"/>
      </c>
      <c r="M25" s="41">
        <f t="shared" si="4"/>
      </c>
      <c r="N25" s="41">
        <f t="shared" si="5"/>
      </c>
      <c r="O25" s="41">
        <f t="shared" si="6"/>
      </c>
      <c r="P25" s="18"/>
      <c r="Q25" s="18"/>
      <c r="R25" s="18"/>
      <c r="S25" s="18"/>
      <c r="T25" s="18"/>
      <c r="U25" s="18"/>
      <c r="V25" s="41">
        <f>IF(C25="","",IFERROR(VLOOKUP(C25,SETUP!$A$9:$D$18,2,0),"⚠ Check SETUP"))</f>
      </c>
      <c r="W25" s="41">
        <f>IF(C25="","",IFERROR(VLOOKUP(C25,SETUP!$A$9:$D$18,3,0),"⚠ Check SETUP"))</f>
      </c>
      <c r="X25" s="40" t="str">
        <f>IF(C25="","",IFERROR(VLOOKUP(C25,SETUP!$A$9:$D$18,4,0),"⚠ Check SETUP"))</f>
      </c>
      <c r="Y25" s="42">
        <f t="shared" si="7"/>
      </c>
      <c r="Z25" s="42">
        <f t="shared" si="8"/>
      </c>
      <c r="AA25" s="42">
        <f t="shared" si="9"/>
      </c>
      <c r="AB25" s="42">
        <f t="shared" si="11"/>
      </c>
    </row>
    <row r="26" spans="1:28" ht="19.5" customHeight="1" x14ac:dyDescent="0.2">
      <c r="A26" s="20"/>
      <c r="B26" s="18"/>
      <c r="C26" s="18"/>
      <c r="D26" s="37"/>
      <c r="E26" s="38">
        <f t="shared" si="0"/>
      </c>
      <c r="F26" s="38">
        <f t="shared" si="1"/>
      </c>
      <c r="G26" s="38">
        <f t="shared" si="2"/>
      </c>
      <c r="H26" s="39"/>
      <c r="I26" s="19"/>
      <c r="J26" s="40" t="str">
        <f t="shared" si="3"/>
      </c>
      <c r="K26" s="78"/>
      <c r="L26" s="41">
        <f t="shared" si="10"/>
      </c>
      <c r="M26" s="41">
        <f t="shared" si="4"/>
      </c>
      <c r="N26" s="41">
        <f t="shared" si="5"/>
      </c>
      <c r="O26" s="41">
        <f t="shared" si="6"/>
      </c>
      <c r="P26" s="18"/>
      <c r="Q26" s="18"/>
      <c r="R26" s="18"/>
      <c r="S26" s="18"/>
      <c r="T26" s="18"/>
      <c r="U26" s="18"/>
      <c r="V26" s="41">
        <f>IF(C26="","",IFERROR(VLOOKUP(C26,SETUP!$A$9:$D$18,2,0),"⚠ Check SETUP"))</f>
      </c>
      <c r="W26" s="41">
        <f>IF(C26="","",IFERROR(VLOOKUP(C26,SETUP!$A$9:$D$18,3,0),"⚠ Check SETUP"))</f>
      </c>
      <c r="X26" s="40" t="str">
        <f>IF(C26="","",IFERROR(VLOOKUP(C26,SETUP!$A$9:$D$18,4,0),"⚠ Check SETUP"))</f>
      </c>
      <c r="Y26" s="42">
        <f t="shared" si="7"/>
      </c>
      <c r="Z26" s="42">
        <f t="shared" si="8"/>
      </c>
      <c r="AA26" s="42">
        <f t="shared" si="9"/>
      </c>
      <c r="AB26" s="42">
        <f t="shared" si="11"/>
      </c>
    </row>
    <row r="27" spans="1:28" ht="19.5" customHeight="1" x14ac:dyDescent="0.2">
      <c r="A27" s="20"/>
      <c r="B27" s="18"/>
      <c r="C27" s="18"/>
      <c r="D27" s="37"/>
      <c r="E27" s="38">
        <f t="shared" si="0"/>
      </c>
      <c r="F27" s="38">
        <f t="shared" si="1"/>
      </c>
      <c r="G27" s="38">
        <f t="shared" si="2"/>
      </c>
      <c r="H27" s="39"/>
      <c r="I27" s="19"/>
      <c r="J27" s="40" t="str">
        <f t="shared" si="3"/>
      </c>
      <c r="K27" s="78"/>
      <c r="L27" s="41">
        <f t="shared" si="10"/>
      </c>
      <c r="M27" s="41">
        <f t="shared" si="4"/>
      </c>
      <c r="N27" s="41">
        <f t="shared" si="5"/>
      </c>
      <c r="O27" s="41">
        <f t="shared" si="6"/>
      </c>
      <c r="P27" s="18"/>
      <c r="Q27" s="18"/>
      <c r="R27" s="18"/>
      <c r="S27" s="18"/>
      <c r="T27" s="18"/>
      <c r="U27" s="18"/>
      <c r="V27" s="41">
        <f>IF(C27="","",IFERROR(VLOOKUP(C27,SETUP!$A$9:$D$18,2,0),"⚠ Check SETUP"))</f>
      </c>
      <c r="W27" s="41">
        <f>IF(C27="","",IFERROR(VLOOKUP(C27,SETUP!$A$9:$D$18,3,0),"⚠ Check SETUP"))</f>
      </c>
      <c r="X27" s="40" t="str">
        <f>IF(C27="","",IFERROR(VLOOKUP(C27,SETUP!$A$9:$D$18,4,0),"⚠ Check SETUP"))</f>
      </c>
      <c r="Y27" s="42">
        <f t="shared" si="7"/>
      </c>
      <c r="Z27" s="42">
        <f t="shared" si="8"/>
      </c>
      <c r="AA27" s="42">
        <f t="shared" si="9"/>
      </c>
      <c r="AB27" s="42">
        <f t="shared" si="11"/>
      </c>
    </row>
    <row r="28" spans="1:28" ht="19.5" customHeight="1" x14ac:dyDescent="0.2">
      <c r="A28" s="20"/>
      <c r="B28" s="18"/>
      <c r="C28" s="18"/>
      <c r="D28" s="37"/>
      <c r="E28" s="38">
        <f t="shared" si="0"/>
      </c>
      <c r="F28" s="38">
        <f t="shared" si="1"/>
      </c>
      <c r="G28" s="38">
        <f t="shared" si="2"/>
      </c>
      <c r="H28" s="39"/>
      <c r="I28" s="19"/>
      <c r="J28" s="40" t="str">
        <f t="shared" si="3"/>
      </c>
      <c r="K28" s="78"/>
      <c r="L28" s="41">
        <f t="shared" si="10"/>
      </c>
      <c r="M28" s="41">
        <f t="shared" si="4"/>
      </c>
      <c r="N28" s="41">
        <f t="shared" si="5"/>
      </c>
      <c r="O28" s="41">
        <f t="shared" si="6"/>
      </c>
      <c r="P28" s="18"/>
      <c r="Q28" s="18"/>
      <c r="R28" s="18"/>
      <c r="S28" s="18"/>
      <c r="T28" s="18"/>
      <c r="U28" s="18"/>
      <c r="V28" s="41">
        <f>IF(C28="","",IFERROR(VLOOKUP(C28,SETUP!$A$9:$D$18,2,0),"⚠ Check SETUP"))</f>
      </c>
      <c r="W28" s="41">
        <f>IF(C28="","",IFERROR(VLOOKUP(C28,SETUP!$A$9:$D$18,3,0),"⚠ Check SETUP"))</f>
      </c>
      <c r="X28" s="40" t="str">
        <f>IF(C28="","",IFERROR(VLOOKUP(C28,SETUP!$A$9:$D$18,4,0),"⚠ Check SETUP"))</f>
      </c>
      <c r="Y28" s="42">
        <f t="shared" si="7"/>
      </c>
      <c r="Z28" s="42">
        <f t="shared" si="8"/>
      </c>
      <c r="AA28" s="42">
        <f t="shared" si="9"/>
      </c>
      <c r="AB28" s="42">
        <f t="shared" si="11"/>
      </c>
    </row>
    <row r="29" spans="1:28" ht="19.5" customHeight="1" x14ac:dyDescent="0.2">
      <c r="A29" s="20"/>
      <c r="B29" s="18"/>
      <c r="C29" s="18"/>
      <c r="D29" s="37"/>
      <c r="E29" s="38">
        <f t="shared" si="0"/>
      </c>
      <c r="F29" s="38">
        <f t="shared" si="1"/>
      </c>
      <c r="G29" s="38">
        <f t="shared" si="2"/>
      </c>
      <c r="H29" s="39"/>
      <c r="I29" s="19"/>
      <c r="J29" s="40" t="str">
        <f t="shared" si="3"/>
      </c>
      <c r="K29" s="78"/>
      <c r="L29" s="41">
        <f t="shared" si="10"/>
      </c>
      <c r="M29" s="41">
        <f t="shared" si="4"/>
      </c>
      <c r="N29" s="41">
        <f t="shared" si="5"/>
      </c>
      <c r="O29" s="41">
        <f t="shared" si="6"/>
      </c>
      <c r="P29" s="18"/>
      <c r="Q29" s="18"/>
      <c r="R29" s="18"/>
      <c r="S29" s="18"/>
      <c r="T29" s="18"/>
      <c r="U29" s="18"/>
      <c r="V29" s="41">
        <f>IF(C29="","",IFERROR(VLOOKUP(C29,SETUP!$A$9:$D$18,2,0),"⚠ Check SETUP"))</f>
      </c>
      <c r="W29" s="41">
        <f>IF(C29="","",IFERROR(VLOOKUP(C29,SETUP!$A$9:$D$18,3,0),"⚠ Check SETUP"))</f>
      </c>
      <c r="X29" s="40" t="str">
        <f>IF(C29="","",IFERROR(VLOOKUP(C29,SETUP!$A$9:$D$18,4,0),"⚠ Check SETUP"))</f>
      </c>
      <c r="Y29" s="42">
        <f t="shared" si="7"/>
      </c>
      <c r="Z29" s="42">
        <f t="shared" si="8"/>
      </c>
      <c r="AA29" s="42">
        <f t="shared" si="9"/>
      </c>
      <c r="AB29" s="42">
        <f t="shared" si="11"/>
      </c>
    </row>
    <row r="30" spans="1:28" ht="19.5" customHeight="1" x14ac:dyDescent="0.2">
      <c r="A30" s="20"/>
      <c r="B30" s="18"/>
      <c r="C30" s="18"/>
      <c r="D30" s="37"/>
      <c r="E30" s="38">
        <f t="shared" si="0"/>
      </c>
      <c r="F30" s="38">
        <f t="shared" si="1"/>
      </c>
      <c r="G30" s="38">
        <f t="shared" si="2"/>
      </c>
      <c r="H30" s="39"/>
      <c r="I30" s="19"/>
      <c r="J30" s="40" t="str">
        <f t="shared" si="3"/>
      </c>
      <c r="K30" s="78"/>
      <c r="L30" s="41">
        <f t="shared" si="10"/>
      </c>
      <c r="M30" s="41">
        <f t="shared" si="4"/>
      </c>
      <c r="N30" s="41">
        <f t="shared" si="5"/>
      </c>
      <c r="O30" s="41">
        <f t="shared" si="6"/>
      </c>
      <c r="P30" s="18"/>
      <c r="Q30" s="18"/>
      <c r="R30" s="18"/>
      <c r="S30" s="18"/>
      <c r="T30" s="18"/>
      <c r="U30" s="18"/>
      <c r="V30" s="41">
        <f>IF(C30="","",IFERROR(VLOOKUP(C30,SETUP!$A$9:$D$18,2,0),"⚠ Check SETUP"))</f>
      </c>
      <c r="W30" s="41">
        <f>IF(C30="","",IFERROR(VLOOKUP(C30,SETUP!$A$9:$D$18,3,0),"⚠ Check SETUP"))</f>
      </c>
      <c r="X30" s="40" t="str">
        <f>IF(C30="","",IFERROR(VLOOKUP(C30,SETUP!$A$9:$D$18,4,0),"⚠ Check SETUP"))</f>
      </c>
      <c r="Y30" s="42">
        <f t="shared" si="7"/>
      </c>
      <c r="Z30" s="42">
        <f t="shared" si="8"/>
      </c>
      <c r="AA30" s="42">
        <f t="shared" si="9"/>
      </c>
      <c r="AB30" s="42">
        <f t="shared" si="11"/>
      </c>
    </row>
    <row r="31" spans="1:28" ht="19.5" customHeight="1" x14ac:dyDescent="0.2">
      <c r="A31" s="20"/>
      <c r="B31" s="18"/>
      <c r="C31" s="18"/>
      <c r="D31" s="37"/>
      <c r="E31" s="38">
        <f t="shared" si="0"/>
      </c>
      <c r="F31" s="38">
        <f t="shared" si="1"/>
      </c>
      <c r="G31" s="38">
        <f t="shared" si="2"/>
      </c>
      <c r="H31" s="39"/>
      <c r="I31" s="19"/>
      <c r="J31" s="40" t="str">
        <f t="shared" si="3"/>
      </c>
      <c r="K31" s="78"/>
      <c r="L31" s="41">
        <f t="shared" si="10"/>
      </c>
      <c r="M31" s="41">
        <f t="shared" si="4"/>
      </c>
      <c r="N31" s="41">
        <f t="shared" si="5"/>
      </c>
      <c r="O31" s="41">
        <f t="shared" si="6"/>
      </c>
      <c r="P31" s="18"/>
      <c r="Q31" s="18"/>
      <c r="R31" s="18"/>
      <c r="S31" s="18"/>
      <c r="T31" s="18"/>
      <c r="U31" s="18"/>
      <c r="V31" s="41">
        <f>IF(C31="","",IFERROR(VLOOKUP(C31,SETUP!$A$9:$D$18,2,0),"⚠ Check SETUP"))</f>
      </c>
      <c r="W31" s="41">
        <f>IF(C31="","",IFERROR(VLOOKUP(C31,SETUP!$A$9:$D$18,3,0),"⚠ Check SETUP"))</f>
      </c>
      <c r="X31" s="40" t="str">
        <f>IF(C31="","",IFERROR(VLOOKUP(C31,SETUP!$A$9:$D$18,4,0),"⚠ Check SETUP"))</f>
      </c>
      <c r="Y31" s="42">
        <f t="shared" si="7"/>
      </c>
      <c r="Z31" s="42">
        <f t="shared" si="8"/>
      </c>
      <c r="AA31" s="42">
        <f t="shared" si="9"/>
      </c>
      <c r="AB31" s="42">
        <f t="shared" si="11"/>
      </c>
    </row>
    <row r="32" spans="1:28" ht="19.5" customHeight="1" x14ac:dyDescent="0.2">
      <c r="A32" s="20"/>
      <c r="B32" s="18"/>
      <c r="C32" s="18"/>
      <c r="D32" s="37"/>
      <c r="E32" s="38">
        <f t="shared" si="0"/>
      </c>
      <c r="F32" s="38">
        <f t="shared" si="1"/>
      </c>
      <c r="G32" s="38">
        <f t="shared" si="2"/>
      </c>
      <c r="H32" s="39"/>
      <c r="I32" s="19"/>
      <c r="J32" s="40" t="str">
        <f t="shared" si="3"/>
      </c>
      <c r="K32" s="78"/>
      <c r="L32" s="41">
        <f t="shared" si="10"/>
      </c>
      <c r="M32" s="41">
        <f t="shared" si="4"/>
      </c>
      <c r="N32" s="41">
        <f t="shared" si="5"/>
      </c>
      <c r="O32" s="41">
        <f t="shared" si="6"/>
      </c>
      <c r="P32" s="18"/>
      <c r="Q32" s="18"/>
      <c r="R32" s="18"/>
      <c r="S32" s="18"/>
      <c r="T32" s="18"/>
      <c r="U32" s="18"/>
      <c r="V32" s="41">
        <f>IF(C32="","",IFERROR(VLOOKUP(C32,SETUP!$A$9:$D$18,2,0),"⚠ Check SETUP"))</f>
      </c>
      <c r="W32" s="41">
        <f>IF(C32="","",IFERROR(VLOOKUP(C32,SETUP!$A$9:$D$18,3,0),"⚠ Check SETUP"))</f>
      </c>
      <c r="X32" s="40" t="str">
        <f>IF(C32="","",IFERROR(VLOOKUP(C32,SETUP!$A$9:$D$18,4,0),"⚠ Check SETUP"))</f>
      </c>
      <c r="Y32" s="42">
        <f t="shared" si="7"/>
      </c>
      <c r="Z32" s="42">
        <f t="shared" si="8"/>
      </c>
      <c r="AA32" s="42">
        <f t="shared" si="9"/>
      </c>
      <c r="AB32" s="42">
        <f t="shared" si="11"/>
      </c>
    </row>
    <row r="33" spans="1:28" ht="19.5" customHeight="1" x14ac:dyDescent="0.2">
      <c r="A33" s="20"/>
      <c r="B33" s="18"/>
      <c r="C33" s="18"/>
      <c r="D33" s="37"/>
      <c r="E33" s="38">
        <f t="shared" si="0"/>
      </c>
      <c r="F33" s="38">
        <f t="shared" si="1"/>
      </c>
      <c r="G33" s="38">
        <f t="shared" si="2"/>
      </c>
      <c r="H33" s="39"/>
      <c r="I33" s="19"/>
      <c r="J33" s="40" t="str">
        <f t="shared" si="3"/>
      </c>
      <c r="K33" s="78"/>
      <c r="L33" s="41">
        <f t="shared" si="10"/>
      </c>
      <c r="M33" s="41">
        <f t="shared" si="4"/>
      </c>
      <c r="N33" s="41">
        <f t="shared" si="5"/>
      </c>
      <c r="O33" s="41">
        <f t="shared" si="6"/>
      </c>
      <c r="P33" s="18"/>
      <c r="Q33" s="18"/>
      <c r="R33" s="18"/>
      <c r="S33" s="18"/>
      <c r="T33" s="18"/>
      <c r="U33" s="18"/>
      <c r="V33" s="41">
        <f>IF(C33="","",IFERROR(VLOOKUP(C33,SETUP!$A$9:$D$18,2,0),"⚠ Check SETUP"))</f>
      </c>
      <c r="W33" s="41">
        <f>IF(C33="","",IFERROR(VLOOKUP(C33,SETUP!$A$9:$D$18,3,0),"⚠ Check SETUP"))</f>
      </c>
      <c r="X33" s="40" t="str">
        <f>IF(C33="","",IFERROR(VLOOKUP(C33,SETUP!$A$9:$D$18,4,0),"⚠ Check SETUP"))</f>
      </c>
      <c r="Y33" s="42">
        <f t="shared" si="7"/>
      </c>
      <c r="Z33" s="42">
        <f t="shared" si="8"/>
      </c>
      <c r="AA33" s="42">
        <f t="shared" si="9"/>
      </c>
      <c r="AB33" s="42">
        <f t="shared" si="11"/>
      </c>
    </row>
    <row r="34" spans="1:28" ht="21.75" customHeight="1" x14ac:dyDescent="0.2">
      <c r="X34" s="43" t="inlineStr">
        <is>
          <t>Portfolio Avg
(Excl. NTV) →</t>
        </is>
      </c>
      <c r="Y34" s="44">
        <f>IFERROR(AVERAGEIFS(Y4:Y33,S4:S33,""),"")</f>
      </c>
      <c r="Z34" s="44">
        <f>IFERROR(AVERAGEIFS(Z4:Z33,S4:S33,""),"")</f>
      </c>
      <c r="AA34" s="44">
        <f>IFERROR(AVERAGEIFS(AA4:AA33,S4:S33,""),"")</f>
      </c>
      <c r="AB34" s="44">
        <f>IFERROR(AVERAGEIF(AB4:AB33,"&lt;&gt;"),"")</f>
      </c>
    </row>
    <row r="36" spans="1:24" ht="25.5" customHeight="1" x14ac:dyDescent="0.2">
      <c r="A36" s="4" t="s">
        <v>97</v>
      </c>
      <c r="B36" s="4"/>
      <c r="C36" s="4"/>
      <c r="D36" s="4"/>
      <c r="E36" s="4"/>
      <c r="F36" s="4"/>
      <c r="G36" s="4"/>
      <c r="H36" s="45"/>
    </row>
    <row r="37" spans="1:24" ht="38" customHeight="1" x14ac:dyDescent="0.2">
      <c r="A37" s="34" t="s">
        <v>98</v>
      </c>
      <c r="B37" s="34" t="s">
        <v>99</v>
      </c>
      <c r="C37" s="34" t="s">
        <v>100</v>
      </c>
      <c r="D37" s="34" t="s">
        <v>101</v>
      </c>
      <c r="E37" s="34" t="s">
        <v>102</v>
      </c>
      <c r="F37" s="45"/>
      <c r="G37" s="45"/>
      <c r="H37" s="45"/>
    </row>
    <row r="38" spans="1:24" ht="21.75" customHeight="1" x14ac:dyDescent="0.2">
      <c r="A38" s="47" t="s">
        <v>103</v>
      </c>
      <c r="B38" s="48">
        <f>COUNTA(A4:A33)</f>
        <v>14</v>
      </c>
      <c r="C38" s="49"/>
      <c r="D38" s="49"/>
      <c r="E38" s="49"/>
      <c r="F38" s="45"/>
      <c r="G38" s="45"/>
      <c r="H38" s="45"/>
    </row>
    <row r="39" spans="1:24" ht="21.75" customHeight="1" x14ac:dyDescent="0.2">
      <c r="A39" s="50" t="s">
        <v>104</v>
      </c>
      <c r="B39" s="51">
        <f>COUNTA(Q4:Q33)</f>
      </c>
      <c r="C39" s="52">
        <f>IFERROR(B39/B38,"-")</f>
        <v>0</v>
      </c>
      <c r="D39" s="52" t="str">
        <f>IFERROR(B39/(B39+B40),"-")</f>
        <v>-</v>
      </c>
      <c r="E39" s="53" t="str">
        <f>IF(B38=0,"Awaiting data",IF(B39/B38&gt;=0.6,"On Track ✓","Needs Attention ⚠"))</f>
        <v>Needs Attention ⚠</v>
      </c>
      <c r="F39" s="45"/>
      <c r="G39" s="45"/>
      <c r="H39" s="45"/>
    </row>
    <row r="40" spans="1:24" ht="21.75" customHeight="1" x14ac:dyDescent="0.2">
      <c r="A40" s="54" t="s">
        <v>105</v>
      </c>
      <c r="B40" s="55">
        <f>COUNTA(S4:S33)</f>
      </c>
      <c r="C40" s="56">
        <f>IFERROR(B40/B38,"-")</f>
        <v>0</v>
      </c>
      <c r="D40" s="56" t="str">
        <f>IFERROR(B40/(B39+B40),"-")</f>
        <v>-</v>
      </c>
      <c r="E40" s="57" t="str">
        <f>IF(B38=0,"Awaiting data",IF(B40/B38&lt;=0.2,"Acceptable","High NTV ⚠"))</f>
        <v>Acceptable</v>
      </c>
      <c r="F40" s="45"/>
      <c r="G40" s="45"/>
      <c r="H40" s="45"/>
    </row>
    <row r="41" spans="1:24" ht="21.75" customHeight="1" x14ac:dyDescent="0.2">
      <c r="A41" s="58" t="s">
        <v>106</v>
      </c>
      <c r="B41" s="59">
        <f>COUNTA(R4:R33)</f>
      </c>
      <c r="C41" s="60">
        <f>IFERROR(B41/B38,"-")</f>
        <v>0</v>
      </c>
      <c r="D41" s="61" t="s">
        <v>107</v>
      </c>
      <c r="E41" s="62" t="s">
        <v>108</v>
      </c>
      <c r="F41" s="45"/>
      <c r="G41" s="45"/>
      <c r="H41" s="45"/>
    </row>
    <row r="42" spans="1:24" ht="47" customHeight="1" x14ac:dyDescent="0.2">
      <c r="A42" s="77" t="s">
        <v>109</v>
      </c>
      <c r="B42" s="64">
        <f>MAX(0,B38-B39-B40-B41)</f>
        <v>14</v>
      </c>
      <c r="C42" s="65">
        <f>IFERROR(B42/B38,"-")</f>
        <v>1</v>
      </c>
      <c r="D42" s="66" t="s">
        <v>107</v>
      </c>
      <c r="E42" s="67" t="str">
        <f>IF(B42=0,"All accounted for ✓","Follow up needed")</f>
        <v>Follow up needed</v>
      </c>
      <c r="F42" s="45"/>
      <c r="G42" s="45"/>
      <c r="H42" s="45"/>
    </row>
    <row r="43" spans="1:24" ht="7.5" customHeight="1" x14ac:dyDescent="0.2">
      <c r="A43" s="45"/>
      <c r="B43" s="45"/>
      <c r="C43" s="45"/>
      <c r="D43" s="45"/>
      <c r="E43" s="45"/>
      <c r="F43" s="45"/>
      <c r="G43" s="45"/>
      <c r="H43" s="45"/>
    </row>
    <row r="44" spans="1:24" ht="37.5" customHeight="1" x14ac:dyDescent="0.2">
      <c r="A44" s="3" t="s">
        <v>110</v>
      </c>
      <c r="B44" s="3"/>
      <c r="C44" s="68">
        <f>IFERROR(B39/B38,"-")</f>
        <v>0</v>
      </c>
      <c r="D44" s="2" t="str">
        <f>IF(B38=0,"Enter resident data to calculate",IF(B39/B38&gt;=0.6,"✓ Meeting target retention","⚠ Below target — review offers"))</f>
        <v>⚠ Below target — review offers</v>
      </c>
      <c r="E44" s="2"/>
      <c r="F44" s="2"/>
      <c r="G44" s="2"/>
      <c r="H44" s="45"/>
    </row>
    <row r="45" spans="1:24" ht="25.5" customHeight="1" x14ac:dyDescent="0.2">
      <c r="A45" s="1" t="s">
        <v>111</v>
      </c>
      <c r="B45" s="1"/>
      <c r="C45" s="69" t="str">
        <f>IFERROR(B39/(B39+B40),"-")</f>
        <v>-</v>
      </c>
      <c r="D45" s="76" t="s">
        <v>112</v>
      </c>
      <c r="E45" s="76"/>
      <c r="F45" s="76"/>
      <c r="G45" s="76"/>
      <c r="H45" s="45"/>
    </row>
    <row r="46" spans="1:24" ht="18" customHeight="1" x14ac:dyDescent="0.2">
      <c r="A46" s="45"/>
      <c r="B46" s="45"/>
      <c r="C46" s="45"/>
      <c r="D46" s="45"/>
      <c r="E46" s="45"/>
      <c r="F46" s="45"/>
      <c r="G46" s="45"/>
      <c r="H46" s="45"/>
    </row>
    <row r="47" spans="1:24" ht="7.5" customHeight="1" x14ac:dyDescent="0.2">
      <c r="A47" s="45"/>
      <c r="B47" s="45"/>
      <c r="C47" s="45"/>
      <c r="D47" s="45"/>
      <c r="E47" s="45"/>
      <c r="F47" s="45"/>
      <c r="G47" s="45"/>
      <c r="H47" s="45"/>
    </row>
    <row r="48" spans="1:24" ht="21.75" customHeight="1" x14ac:dyDescent="0.2">
      <c r="A48" s="70" t="s">
        <v>113</v>
      </c>
      <c r="B48" s="45"/>
      <c r="C48" s="45"/>
      <c r="D48" s="45"/>
      <c r="E48" s="45"/>
      <c r="F48" s="45"/>
      <c r="G48" s="45"/>
      <c r="H48" s="45"/>
    </row>
    <row r="49" spans="1:8" ht="18" customHeight="1" x14ac:dyDescent="0.2">
      <c r="A49" s="71" t="s">
        <v>114</v>
      </c>
      <c r="B49" s="45"/>
      <c r="C49" s="45"/>
      <c r="D49" s="45"/>
      <c r="E49" s="45"/>
      <c r="F49" s="45"/>
      <c r="G49" s="45"/>
      <c r="H49" s="45"/>
    </row>
    <row r="50" spans="1:8" ht="18" customHeight="1" x14ac:dyDescent="0.2">
      <c r="A50" s="72" t="s">
        <v>115</v>
      </c>
      <c r="B50" s="45"/>
      <c r="C50" s="45"/>
      <c r="D50" s="45"/>
      <c r="E50" s="45"/>
      <c r="F50" s="45"/>
      <c r="G50" s="45"/>
      <c r="H50" s="45"/>
    </row>
    <row r="51" spans="1:8" ht="18" customHeight="1" x14ac:dyDescent="0.2">
      <c r="A51" s="73" t="s">
        <v>116</v>
      </c>
      <c r="B51" s="45"/>
      <c r="C51" s="45"/>
      <c r="D51" s="45"/>
      <c r="E51" s="45"/>
      <c r="F51" s="45"/>
      <c r="G51" s="45"/>
      <c r="H51" s="45"/>
    </row>
    <row r="52" spans="1:8" ht="18" customHeight="1" x14ac:dyDescent="0.2">
      <c r="A52" s="74" t="s">
        <v>117</v>
      </c>
      <c r="B52" s="45"/>
      <c r="C52" s="45"/>
      <c r="D52" s="45"/>
      <c r="E52" s="45"/>
      <c r="F52" s="45"/>
      <c r="G52" s="45"/>
      <c r="H52" s="45"/>
    </row>
    <row r="53" spans="1:8" ht="18" customHeight="1" x14ac:dyDescent="0.2">
      <c r="A53" s="75" t="s">
        <v>118</v>
      </c>
      <c r="B53" s="45"/>
      <c r="C53" s="45"/>
      <c r="D53" s="45"/>
      <c r="E53" s="45"/>
      <c r="F53" s="45"/>
      <c r="G53" s="45"/>
      <c r="H53" s="45"/>
    </row>
    <row r="54" spans="1:8" ht="15" customHeight="1" x14ac:dyDescent="0.2">
      <c r="A54" s="45"/>
      <c r="B54" s="45"/>
      <c r="C54" s="45"/>
      <c r="D54" s="45"/>
      <c r="E54" s="45"/>
      <c r="F54" s="45"/>
      <c r="G54" s="45"/>
      <c r="H54" s="45"/>
    </row>
    <row r="55" spans="1:8" ht="15" customHeight="1" x14ac:dyDescent="0.2">
      <c r="A55" s="45"/>
      <c r="B55" s="45"/>
      <c r="C55" s="45"/>
      <c r="D55" s="45"/>
      <c r="E55" s="45"/>
      <c r="F55" s="45"/>
      <c r="G55" s="45"/>
      <c r="H55" s="45"/>
    </row>
    <row r="56" spans="1:8" ht="15" customHeight="1" x14ac:dyDescent="0.2">
      <c r="A56" s="45"/>
      <c r="B56" s="45"/>
      <c r="C56" s="45"/>
      <c r="D56" s="45"/>
      <c r="E56" s="45"/>
      <c r="F56" s="45"/>
      <c r="G56" s="45"/>
      <c r="H56" s="45"/>
    </row>
    <row r="57" spans="1:8" ht="15" customHeight="1" x14ac:dyDescent="0.2">
      <c r="A57" s="45"/>
      <c r="B57" s="45"/>
      <c r="C57" s="45"/>
      <c r="D57" s="45"/>
      <c r="E57" s="45"/>
      <c r="F57" s="45"/>
      <c r="G57" s="45"/>
      <c r="H57" s="45"/>
    </row>
    <row r="58" spans="1:8" ht="15" customHeight="1" x14ac:dyDescent="0.2">
      <c r="A58" s="45"/>
      <c r="B58" s="45"/>
      <c r="C58" s="45"/>
      <c r="D58" s="45"/>
      <c r="E58" s="45"/>
      <c r="F58" s="45"/>
      <c r="G58" s="45"/>
      <c r="H58" s="45"/>
    </row>
    <row r="59" spans="1:8" ht="15" customHeight="1" x14ac:dyDescent="0.2">
      <c r="A59" s="45"/>
      <c r="B59" s="45"/>
      <c r="C59" s="45"/>
      <c r="D59" s="45"/>
      <c r="E59" s="45"/>
      <c r="F59" s="45"/>
      <c r="G59" s="45"/>
      <c r="H59" s="45"/>
    </row>
    <row r="60" spans="1:8" ht="15" customHeight="1" x14ac:dyDescent="0.2">
      <c r="A60" s="45"/>
      <c r="B60" s="45"/>
      <c r="C60" s="45"/>
      <c r="D60" s="45"/>
      <c r="E60" s="45"/>
      <c r="F60" s="45"/>
      <c r="G60" s="45"/>
      <c r="H60" s="45"/>
    </row>
  </sheetData>
  <mergeCells count="6">
    <mergeCell ref="A1:AB1"/>
    <mergeCell ref="A36:G36"/>
    <mergeCell ref="A44:B44"/>
    <mergeCell ref="D44:G44"/>
    <mergeCell ref="A45:B45"/>
    <mergeCell ref="D45:G45"/>
  </mergeCells>
  <conditionalFormatting sqref="A4:U33">
    <cfRule type="expression" dxfId="5" priority="2">
      <formula>$S4&lt;&gt;""</formula>
    </cfRule>
    <cfRule type="expression" dxfId="4" priority="3">
      <formula>$R4&lt;&gt;""</formula>
    </cfRule>
    <cfRule type="expression" dxfId="3" priority="4">
      <formula>$Q4&lt;&gt;""</formula>
    </cfRule>
  </conditionalFormatting>
  <dataValidations count="1">
    <dataValidation type="list" allowBlank="1" showInputMessage="1" showErrorMessage="1" sqref="P4:P33">
      <formula1>"Investor Override,Offer 1,Offer 2,Offer 3"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xmlns:xr="http://schemas.microsoft.com/office/spreadsheetml/2014/revision" mc:Ignorable="x14ac xr xr2 xr3" xr:uid="{00000000-0001-0000-0200-000000000000}">
  <dimension ref="A1:AB60"/>
  <sheetViews>
    <sheetView zoomScaleNormal="100" workbookViewId="0">
      <pane ySplit="3" topLeftCell="A4" activePane="bottomLeft" state="frozen"/>
      <selection pane="bottomLeft" sqref="A1:AB1"/>
    </sheetView>
  </sheetViews>
  <sheetFormatPr baseColWidth="10" defaultColWidth="8.6640625" defaultRowHeight="15" customHeight="1" x14ac:dyDescent="0.2"/>
  <cols>
    <col width="23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7" customWidth="1" min="10" max="10"/>
    <col width="16" customWidth="1" min="11" max="11"/>
    <col width="15" customWidth="1" min="12" max="12"/>
    <col width="21" customWidth="1" min="13" max="13"/>
    <col width="19" customWidth="1" min="14" max="14"/>
    <col width="21" customWidth="1" min="15" max="15"/>
    <col width="16" customWidth="1" min="16" max="16"/>
    <col width="14" customWidth="1" min="17" max="17"/>
    <col width="12" customWidth="1" min="18" max="18"/>
    <col width="12" customWidth="1" min="19" max="19"/>
    <col width="13" customWidth="1" min="20" max="20"/>
    <col width="22" customWidth="1" min="21" max="21"/>
    <col width="14" customWidth="1" min="22" max="22"/>
    <col width="12" customWidth="1" min="23" max="23"/>
    <col width="20" customWidth="1" min="24" max="24"/>
    <col width="20" customWidth="1" min="25" max="25"/>
    <col width="20" customWidth="1" min="26" max="26"/>
    <col width="20" customWidth="1" min="27" max="27"/>
    <col width="18" customWidth="1" min="28" max="28"/>
  </cols>
  <sheetData>
    <row r="1" spans="1:28" ht="34.5" customHeight="1" x14ac:dyDescent="0.2">
      <c r="A1" s="5" t="str">
        <f>SETUP!B3&amp;" - "&amp;SETUP!B4&amp;" Renewals"</f>
        <v>RISE Citrus Ridge - March 2026 Renewals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8" ht="49.5" customHeight="1" x14ac:dyDescent="0.2">
      <c r="A2" s="34" t="inlineStr">
        <is>
          <t>Name</t>
        </is>
      </c>
      <c r="B2" s="34" t="inlineStr">
        <is>
          <t>Unit</t>
        </is>
      </c>
      <c r="C2" s="34" t="inlineStr">
        <is>
          <t>Unit
Type</t>
        </is>
      </c>
      <c r="D2" s="34" t="inlineStr">
        <is>
          <t>Expiration
Date</t>
        </is>
      </c>
      <c r="E2" s="34" t="inlineStr">
        <is>
          <t>90-Day
Notice</t>
        </is>
      </c>
      <c r="F2" s="34" t="inlineStr">
        <is>
          <t>60-Day
Notice</t>
        </is>
      </c>
      <c r="G2" s="34" t="inlineStr">
        <is>
          <t>30-Day
Notice</t>
        </is>
      </c>
      <c r="H2" s="34" t="inlineStr">
        <is>
          <t>Deposit
Held</t>
        </is>
      </c>
      <c r="I2" s="34" t="inlineStr">
        <is>
          <t>Current
Rate</t>
        </is>
      </c>
      <c r="J2" s="34" t="inlineStr">
        <is>
          <t>Recommended
Offer</t>
        </is>
      </c>
      <c r="K2" s="34" t="inlineStr">
        <is>
          <t>Investor Override
% Increase</t>
        </is>
      </c>
      <c r="L2" s="34" t="inlineStr">
        <is>
          <t>Investor Override
Offer</t>
        </is>
      </c>
      <c r="M2" s="34" t="inlineStr">
        <is>
          <t>Offer 1
Conservative</t>
        </is>
      </c>
      <c r="N2" s="34" t="inlineStr">
        <is>
          <t>Offer 2
Balanced</t>
        </is>
      </c>
      <c r="O2" s="34" t="inlineStr">
        <is>
          <t>Offer 3
Aggressive</t>
        </is>
      </c>
      <c r="P2" s="34" t="inlineStr">
        <is>
          <t>Signed
Offer</t>
        </is>
      </c>
      <c r="Q2" s="34" t="inlineStr">
        <is>
          <t>Renewal
Signed</t>
        </is>
      </c>
      <c r="R2" s="34" t="inlineStr">
        <is>
          <t>Transfer</t>
        </is>
      </c>
      <c r="S2" s="34" t="inlineStr">
        <is>
          <t>NTV
Rcv'd</t>
        </is>
      </c>
      <c r="T2" s="34" t="inlineStr">
        <is>
          <t>Phone</t>
        </is>
      </c>
      <c r="U2" s="34" t="inlineStr">
        <is>
          <t>Notes</t>
        </is>
      </c>
      <c r="V2" s="34" t="inlineStr">
        <is>
          <t>Market
Rate</t>
        </is>
      </c>
      <c r="W2" s="34" t="inlineStr">
        <is>
          <t>Budget</t>
        </is>
      </c>
      <c r="X2" s="34" t="inlineStr">
        <is>
          <t>Occupancy
(Under/Over)</t>
        </is>
      </c>
      <c r="Y2" s="34" t="inlineStr">
        <is>
          <t>Rent Growth
Offer 1</t>
        </is>
      </c>
      <c r="Z2" s="34" t="inlineStr">
        <is>
          <t>Rent Growth
Offer 2</t>
        </is>
      </c>
      <c r="AA2" s="34" t="inlineStr">
        <is>
          <t>Rent Growth
Offer 3</t>
        </is>
      </c>
      <c r="AB2" s="34" t="inlineStr">
        <is>
          <t>Signed
Rent Growth</t>
        </is>
      </c>
    </row>
    <row r="3" spans="1:28" ht="12.75" customHeight="1" x14ac:dyDescent="0.2">
      <c r="A3" s="35" t="inlineStr">
        <is>
          <t>▼ Enter</t>
        </is>
      </c>
      <c r="B3" s="35" t="inlineStr">
        <is>
          <t>▼ Enter</t>
        </is>
      </c>
      <c r="C3" s="35" t="inlineStr">
        <is>
          <t>▼ Enter</t>
        </is>
      </c>
      <c r="D3" s="35" t="inlineStr">
        <is>
          <t>▼ Enter</t>
        </is>
      </c>
      <c r="E3" s="36" t="inlineStr">
        <is>
          <t>◀ Auto</t>
        </is>
      </c>
      <c r="F3" s="36" t="inlineStr">
        <is>
          <t>◀ Auto</t>
        </is>
      </c>
      <c r="G3" s="36" t="inlineStr">
        <is>
          <t>◀ Auto</t>
        </is>
      </c>
      <c r="H3" s="35" t="inlineStr">
        <is>
          <t>▼ Enter</t>
        </is>
      </c>
      <c r="I3" s="35" t="inlineStr">
        <is>
          <t>▼ Enter</t>
        </is>
      </c>
      <c r="J3" s="36" t="inlineStr">
        <is>
          <t>◀ Auto</t>
        </is>
      </c>
      <c r="K3" s="35" t="inlineStr">
        <is>
          <t>▼ Enter</t>
        </is>
      </c>
      <c r="L3" s="36" t="inlineStr">
        <is>
          <t>◀ Auto</t>
        </is>
      </c>
      <c r="M3" s="36" t="inlineStr">
        <is>
          <t>◀ Auto</t>
        </is>
      </c>
      <c r="N3" s="36" t="inlineStr">
        <is>
          <t>◀ Auto</t>
        </is>
      </c>
      <c r="O3" s="36" t="inlineStr">
        <is>
          <t>◀ Auto</t>
        </is>
      </c>
      <c r="P3" s="35" t="inlineStr">
        <is>
          <t>▼ Select</t>
        </is>
      </c>
      <c r="Q3" s="35" t="inlineStr">
        <is>
          <t>▼ Enter</t>
        </is>
      </c>
      <c r="R3" s="35" t="inlineStr">
        <is>
          <t>▼ Enter</t>
        </is>
      </c>
      <c r="S3" s="35" t="inlineStr">
        <is>
          <t>▼ Enter</t>
        </is>
      </c>
      <c r="T3" s="35" t="inlineStr">
        <is>
          <t>▼ Enter</t>
        </is>
      </c>
      <c r="U3" s="35" t="inlineStr">
        <is>
          <t>▼ Enter</t>
        </is>
      </c>
      <c r="V3" s="36" t="inlineStr">
        <is>
          <t>◀ Auto</t>
        </is>
      </c>
      <c r="W3" s="36" t="inlineStr">
        <is>
          <t>◀ Auto</t>
        </is>
      </c>
      <c r="X3" s="36" t="inlineStr">
        <is>
          <t>◀ Auto</t>
        </is>
      </c>
      <c r="Y3" s="36" t="inlineStr">
        <is>
          <t>◀ Auto</t>
        </is>
      </c>
      <c r="Z3" s="36" t="inlineStr">
        <is>
          <t>◀ Auto</t>
        </is>
      </c>
      <c r="AA3" s="36" t="inlineStr">
        <is>
          <t>◀ Auto</t>
        </is>
      </c>
      <c r="AB3" s="36" t="inlineStr">
        <is>
          <t>◀ Auto</t>
        </is>
      </c>
    </row>
    <row r="4" spans="1:28" ht="19.5" customHeight="1" x14ac:dyDescent="0.2">
      <c r="A4" s="20"/>
      <c r="B4" s="18"/>
      <c r="C4" s="18"/>
      <c r="D4" s="37"/>
      <c r="E4" s="38" t="str">
        <f t="shared" si="0" ref="E4:E33">IF(D4="","",D4-90)</f>
      </c>
      <c r="F4" s="38" t="str">
        <f t="shared" si="1" ref="F4:F33">IF(D4="","",D4-60)</f>
      </c>
      <c r="G4" s="38" t="str">
        <f t="shared" si="2" ref="G4:G33">IF(D4="","",D4-30)</f>
      </c>
      <c r="H4" s="39"/>
      <c r="I4" s="19"/>
      <c r="J4" s="40" t="str">
        <f t="shared" si="3" ref="J4:J33">IF(I4="","",IF(ABS(N4-W4)&lt;=ABS(M4-W4),IF(ABS(N4-W4)&lt;=ABS(O4-W4),"Offer 2","Offer 3"),IF(ABS(M4-W4)&lt;=ABS(O4-W4),"Offer 1","Offer 3")))</f>
      </c>
      <c r="K4" s="78"/>
      <c r="L4" s="41" t="str">
        <f t="shared" si="10" ref="L4:L33">IF(OR(I4="",K4=""),"",CEILING(I4*(1+K4),5))</f>
      </c>
      <c r="M4" s="41" t="str">
        <f t="shared" si="4" ref="M4:M33">IF(I4="","",IF(X4="Under",CEILING(MAX(I4*1.02,MIN(V4,W4)*0.95),5),CEILING(MAX(I4*1.03,MIN(V4,W4)*0.97),5)))</f>
      </c>
      <c r="N4" s="41" t="str">
        <f t="shared" si="5" ref="N4:N33">IF(I4="","",IF(X4="Under",CEILING(MAX(I4*1.03,(V4+W4)/2*0.96),5),CEILING(MAX(I4*1.05,(V4+W4)/2*0.98),5)))</f>
      </c>
      <c r="O4" s="41" t="str">
        <f t="shared" si="6" ref="O4:O33">IF(I4="","",IF(X4="Under",CEILING(MAX(I4*1.05,MIN(V4,W4*1.01)),5),CEILING(MAX(I4*1.08,MIN(V4,W4*1.02)),5)))</f>
      </c>
      <c r="P4" s="18"/>
      <c r="Q4" s="18"/>
      <c r="R4" s="18"/>
      <c r="S4" s="18"/>
      <c r="T4" s="18"/>
      <c r="U4" s="18"/>
      <c r="V4" s="41" t="str">
        <f>IF(C4="","",IFERROR(VLOOKUP(C4,SETUP!$A$9:$D$18,2,0),"⚠ Check SETUP"))</f>
      </c>
      <c r="W4" s="41" t="str">
        <f>IF(C4="","",IFERROR(VLOOKUP(C4,SETUP!$A$9:$D$18,3,0),"⚠ Check SETUP"))</f>
      </c>
      <c r="X4" s="40" t="str">
        <f>IF(C4="","",IFERROR(VLOOKUP(C4,SETUP!$A$9:$D$18,4,0),"⚠ Check SETUP"))</f>
      </c>
      <c r="Y4" s="42" t="str">
        <f t="shared" si="7" ref="Y4:Y33">IF(OR(I4="",M4=""),"",(M4-I4)/I4)</f>
      </c>
      <c r="Z4" s="42" t="str">
        <f t="shared" si="8" ref="Z4:Z33">IF(OR(I4="",N4=""),"",(N4-I4)/I4)</f>
      </c>
      <c r="AA4" s="42" t="str">
        <f t="shared" si="9" ref="AA4:AA33">IF(OR(I4="",O4=""),"",(O4-I4)/I4)</f>
      </c>
      <c r="AB4" s="42" t="str">
        <f t="shared" si="11" ref="AB4:AB33">IF(OR(Q4="",S4&lt;&gt;"",P4="",I4=""),"",IF(P4="Investor Override",IF(L4="","",(L4-I4)/I4),IF(P4="Offer 1",IF(M4="","",(M4-I4)/I4),IF(P4="Offer 2",IF(N4="","",(N4-I4)/I4),IF(P4="Offer 3",IF(O4="","",(O4-I4)/I4),"")))))</f>
      </c>
    </row>
    <row r="5" spans="1:28" ht="19.5" customHeight="1" x14ac:dyDescent="0.2">
      <c r="A5" s="20"/>
      <c r="B5" s="18"/>
      <c r="C5" s="18"/>
      <c r="D5" s="37"/>
      <c r="E5" s="38" t="str">
        <f t="shared" si="0"/>
      </c>
      <c r="F5" s="38" t="str">
        <f t="shared" si="1"/>
      </c>
      <c r="G5" s="38" t="str">
        <f t="shared" si="2"/>
      </c>
      <c r="H5" s="39"/>
      <c r="I5" s="19"/>
      <c r="J5" s="40" t="str">
        <f t="shared" si="3"/>
      </c>
      <c r="K5" s="78"/>
      <c r="L5" s="41" t="str">
        <f t="shared" si="10"/>
      </c>
      <c r="M5" s="41" t="str">
        <f t="shared" si="4"/>
      </c>
      <c r="N5" s="41" t="str">
        <f t="shared" si="5"/>
      </c>
      <c r="O5" s="41" t="str">
        <f t="shared" si="6"/>
      </c>
      <c r="P5" s="18"/>
      <c r="Q5" s="18"/>
      <c r="R5" s="18"/>
      <c r="S5" s="18"/>
      <c r="T5" s="18"/>
      <c r="U5" s="18"/>
      <c r="V5" s="41" t="str">
        <f>IF(C5="","",IFERROR(VLOOKUP(C5,SETUP!$A$9:$D$18,2,0),"⚠ Check SETUP"))</f>
      </c>
      <c r="W5" s="41" t="str">
        <f>IF(C5="","",IFERROR(VLOOKUP(C5,SETUP!$A$9:$D$18,3,0),"⚠ Check SETUP"))</f>
      </c>
      <c r="X5" s="40" t="str">
        <f>IF(C5="","",IFERROR(VLOOKUP(C5,SETUP!$A$9:$D$18,4,0),"⚠ Check SETUP"))</f>
      </c>
      <c r="Y5" s="42" t="str">
        <f t="shared" si="7"/>
      </c>
      <c r="Z5" s="42" t="str">
        <f t="shared" si="8"/>
      </c>
      <c r="AA5" s="42" t="str">
        <f t="shared" si="9"/>
      </c>
      <c r="AB5" s="42" t="str">
        <f t="shared" si="11"/>
      </c>
    </row>
    <row r="6" spans="1:28" ht="19.5" customHeight="1" x14ac:dyDescent="0.2">
      <c r="A6" s="20"/>
      <c r="B6" s="18"/>
      <c r="C6" s="18"/>
      <c r="D6" s="37"/>
      <c r="E6" s="38" t="str">
        <f t="shared" si="0"/>
      </c>
      <c r="F6" s="38" t="str">
        <f t="shared" si="1"/>
      </c>
      <c r="G6" s="38" t="str">
        <f t="shared" si="2"/>
      </c>
      <c r="H6" s="39"/>
      <c r="I6" s="19"/>
      <c r="J6" s="40" t="str">
        <f t="shared" si="3"/>
      </c>
      <c r="K6" s="78"/>
      <c r="L6" s="41" t="str">
        <f t="shared" si="10"/>
      </c>
      <c r="M6" s="41" t="str">
        <f t="shared" si="4"/>
      </c>
      <c r="N6" s="41" t="str">
        <f t="shared" si="5"/>
      </c>
      <c r="O6" s="41" t="str">
        <f t="shared" si="6"/>
      </c>
      <c r="P6" s="18"/>
      <c r="Q6" s="18"/>
      <c r="R6" s="18"/>
      <c r="S6" s="18"/>
      <c r="T6" s="18"/>
      <c r="U6" s="18"/>
      <c r="V6" s="41" t="str">
        <f>IF(C6="","",IFERROR(VLOOKUP(C6,SETUP!$A$9:$D$18,2,0),"⚠ Check SETUP"))</f>
      </c>
      <c r="W6" s="41" t="str">
        <f>IF(C6="","",IFERROR(VLOOKUP(C6,SETUP!$A$9:$D$18,3,0),"⚠ Check SETUP"))</f>
      </c>
      <c r="X6" s="40" t="str">
        <f>IF(C6="","",IFERROR(VLOOKUP(C6,SETUP!$A$9:$D$18,4,0),"⚠ Check SETUP"))</f>
      </c>
      <c r="Y6" s="42" t="str">
        <f t="shared" si="7"/>
      </c>
      <c r="Z6" s="42" t="str">
        <f t="shared" si="8"/>
      </c>
      <c r="AA6" s="42" t="str">
        <f t="shared" si="9"/>
      </c>
      <c r="AB6" s="42" t="str">
        <f t="shared" si="11"/>
      </c>
    </row>
    <row r="7" spans="1:28" ht="19.5" customHeight="1" x14ac:dyDescent="0.2">
      <c r="A7" s="20"/>
      <c r="B7" s="18"/>
      <c r="C7" s="18"/>
      <c r="D7" s="37"/>
      <c r="E7" s="38" t="str">
        <f t="shared" si="0"/>
      </c>
      <c r="F7" s="38" t="str">
        <f t="shared" si="1"/>
      </c>
      <c r="G7" s="38" t="str">
        <f t="shared" si="2"/>
      </c>
      <c r="H7" s="39"/>
      <c r="I7" s="19"/>
      <c r="J7" s="40" t="str">
        <f t="shared" si="3"/>
      </c>
      <c r="K7" s="78"/>
      <c r="L7" s="41" t="str">
        <f t="shared" si="10"/>
      </c>
      <c r="M7" s="41" t="str">
        <f t="shared" si="4"/>
      </c>
      <c r="N7" s="41" t="str">
        <f t="shared" si="5"/>
      </c>
      <c r="O7" s="41" t="str">
        <f t="shared" si="6"/>
      </c>
      <c r="P7" s="18"/>
      <c r="Q7" s="18"/>
      <c r="R7" s="18"/>
      <c r="S7" s="18"/>
      <c r="T7" s="18"/>
      <c r="U7" s="18"/>
      <c r="V7" s="41" t="str">
        <f>IF(C7="","",IFERROR(VLOOKUP(C7,SETUP!$A$9:$D$18,2,0),"⚠ Check SETUP"))</f>
      </c>
      <c r="W7" s="41" t="str">
        <f>IF(C7="","",IFERROR(VLOOKUP(C7,SETUP!$A$9:$D$18,3,0),"⚠ Check SETUP"))</f>
      </c>
      <c r="X7" s="40" t="str">
        <f>IF(C7="","",IFERROR(VLOOKUP(C7,SETUP!$A$9:$D$18,4,0),"⚠ Check SETUP"))</f>
      </c>
      <c r="Y7" s="42" t="str">
        <f t="shared" si="7"/>
      </c>
      <c r="Z7" s="42" t="str">
        <f t="shared" si="8"/>
      </c>
      <c r="AA7" s="42" t="str">
        <f t="shared" si="9"/>
      </c>
      <c r="AB7" s="42" t="str">
        <f t="shared" si="11"/>
      </c>
    </row>
    <row r="8" spans="1:28" ht="19.5" customHeight="1" x14ac:dyDescent="0.2">
      <c r="A8" s="20"/>
      <c r="B8" s="18"/>
      <c r="C8" s="18"/>
      <c r="D8" s="37"/>
      <c r="E8" s="38" t="str">
        <f t="shared" si="0"/>
      </c>
      <c r="F8" s="38" t="str">
        <f t="shared" si="1"/>
      </c>
      <c r="G8" s="38" t="str">
        <f t="shared" si="2"/>
      </c>
      <c r="H8" s="39"/>
      <c r="I8" s="19"/>
      <c r="J8" s="40" t="str">
        <f t="shared" si="3"/>
      </c>
      <c r="K8" s="78"/>
      <c r="L8" s="41" t="str">
        <f t="shared" si="10"/>
      </c>
      <c r="M8" s="41" t="str">
        <f t="shared" si="4"/>
      </c>
      <c r="N8" s="41" t="str">
        <f t="shared" si="5"/>
      </c>
      <c r="O8" s="41" t="str">
        <f t="shared" si="6"/>
      </c>
      <c r="P8" s="18"/>
      <c r="Q8" s="18"/>
      <c r="R8" s="18"/>
      <c r="S8" s="18"/>
      <c r="T8" s="18"/>
      <c r="U8" s="18"/>
      <c r="V8" s="41" t="str">
        <f>IF(C8="","",IFERROR(VLOOKUP(C8,SETUP!$A$9:$D$18,2,0),"⚠ Check SETUP"))</f>
      </c>
      <c r="W8" s="41" t="str">
        <f>IF(C8="","",IFERROR(VLOOKUP(C8,SETUP!$A$9:$D$18,3,0),"⚠ Check SETUP"))</f>
      </c>
      <c r="X8" s="40" t="str">
        <f>IF(C8="","",IFERROR(VLOOKUP(C8,SETUP!$A$9:$D$18,4,0),"⚠ Check SETUP"))</f>
      </c>
      <c r="Y8" s="42" t="str">
        <f t="shared" si="7"/>
      </c>
      <c r="Z8" s="42" t="str">
        <f t="shared" si="8"/>
      </c>
      <c r="AA8" s="42" t="str">
        <f t="shared" si="9"/>
      </c>
      <c r="AB8" s="42" t="str">
        <f t="shared" si="11"/>
      </c>
    </row>
    <row r="9" spans="1:28" ht="19.5" customHeight="1" x14ac:dyDescent="0.2">
      <c r="A9" s="20"/>
      <c r="B9" s="18"/>
      <c r="C9" s="18"/>
      <c r="D9" s="37"/>
      <c r="E9" s="38" t="str">
        <f t="shared" si="0"/>
      </c>
      <c r="F9" s="38" t="str">
        <f t="shared" si="1"/>
      </c>
      <c r="G9" s="38" t="str">
        <f t="shared" si="2"/>
      </c>
      <c r="H9" s="39"/>
      <c r="I9" s="19"/>
      <c r="J9" s="40" t="str">
        <f t="shared" si="3"/>
      </c>
      <c r="K9" s="78"/>
      <c r="L9" s="41" t="str">
        <f t="shared" si="10"/>
      </c>
      <c r="M9" s="41" t="str">
        <f t="shared" si="4"/>
      </c>
      <c r="N9" s="41" t="str">
        <f t="shared" si="5"/>
      </c>
      <c r="O9" s="41" t="str">
        <f t="shared" si="6"/>
      </c>
      <c r="P9" s="18"/>
      <c r="Q9" s="18"/>
      <c r="R9" s="18"/>
      <c r="S9" s="18"/>
      <c r="T9" s="18"/>
      <c r="U9" s="18"/>
      <c r="V9" s="41" t="str">
        <f>IF(C9="","",IFERROR(VLOOKUP(C9,SETUP!$A$9:$D$18,2,0),"⚠ Check SETUP"))</f>
      </c>
      <c r="W9" s="41" t="str">
        <f>IF(C9="","",IFERROR(VLOOKUP(C9,SETUP!$A$9:$D$18,3,0),"⚠ Check SETUP"))</f>
      </c>
      <c r="X9" s="40" t="str">
        <f>IF(C9="","",IFERROR(VLOOKUP(C9,SETUP!$A$9:$D$18,4,0),"⚠ Check SETUP"))</f>
      </c>
      <c r="Y9" s="42" t="str">
        <f t="shared" si="7"/>
      </c>
      <c r="Z9" s="42" t="str">
        <f t="shared" si="8"/>
      </c>
      <c r="AA9" s="42" t="str">
        <f t="shared" si="9"/>
      </c>
      <c r="AB9" s="42" t="str">
        <f t="shared" si="11"/>
      </c>
    </row>
    <row r="10" spans="1:28" ht="19.5" customHeight="1" x14ac:dyDescent="0.2">
      <c r="A10" s="20"/>
      <c r="B10" s="18"/>
      <c r="C10" s="18"/>
      <c r="D10" s="37"/>
      <c r="E10" s="38" t="str">
        <f t="shared" si="0"/>
      </c>
      <c r="F10" s="38" t="str">
        <f t="shared" si="1"/>
      </c>
      <c r="G10" s="38" t="str">
        <f t="shared" si="2"/>
      </c>
      <c r="H10" s="39"/>
      <c r="I10" s="19"/>
      <c r="J10" s="40" t="str">
        <f t="shared" si="3"/>
      </c>
      <c r="K10" s="78"/>
      <c r="L10" s="41" t="str">
        <f t="shared" si="10"/>
      </c>
      <c r="M10" s="41" t="str">
        <f t="shared" si="4"/>
      </c>
      <c r="N10" s="41" t="str">
        <f t="shared" si="5"/>
      </c>
      <c r="O10" s="41" t="str">
        <f t="shared" si="6"/>
      </c>
      <c r="P10" s="18"/>
      <c r="Q10" s="18"/>
      <c r="R10" s="18"/>
      <c r="S10" s="18"/>
      <c r="T10" s="18"/>
      <c r="U10" s="18"/>
      <c r="V10" s="41" t="str">
        <f>IF(C10="","",IFERROR(VLOOKUP(C10,SETUP!$A$9:$D$18,2,0),"⚠ Check SETUP"))</f>
      </c>
      <c r="W10" s="41" t="str">
        <f>IF(C10="","",IFERROR(VLOOKUP(C10,SETUP!$A$9:$D$18,3,0),"⚠ Check SETUP"))</f>
      </c>
      <c r="X10" s="40" t="str">
        <f>IF(C10="","",IFERROR(VLOOKUP(C10,SETUP!$A$9:$D$18,4,0),"⚠ Check SETUP"))</f>
      </c>
      <c r="Y10" s="42" t="str">
        <f t="shared" si="7"/>
      </c>
      <c r="Z10" s="42" t="str">
        <f t="shared" si="8"/>
      </c>
      <c r="AA10" s="42" t="str">
        <f t="shared" si="9"/>
      </c>
      <c r="AB10" s="42" t="str">
        <f t="shared" si="11"/>
      </c>
    </row>
    <row r="11" spans="1:28" ht="19.5" customHeight="1" x14ac:dyDescent="0.2">
      <c r="A11" s="20"/>
      <c r="B11" s="18"/>
      <c r="C11" s="18"/>
      <c r="D11" s="37"/>
      <c r="E11" s="38" t="str">
        <f t="shared" si="0"/>
      </c>
      <c r="F11" s="38" t="str">
        <f t="shared" si="1"/>
      </c>
      <c r="G11" s="38" t="str">
        <f t="shared" si="2"/>
      </c>
      <c r="H11" s="39"/>
      <c r="I11" s="19"/>
      <c r="J11" s="40" t="str">
        <f t="shared" si="3"/>
      </c>
      <c r="K11" s="78"/>
      <c r="L11" s="41" t="str">
        <f t="shared" si="10"/>
      </c>
      <c r="M11" s="41" t="str">
        <f t="shared" si="4"/>
      </c>
      <c r="N11" s="41" t="str">
        <f t="shared" si="5"/>
      </c>
      <c r="O11" s="41" t="str">
        <f t="shared" si="6"/>
      </c>
      <c r="P11" s="18"/>
      <c r="Q11" s="18"/>
      <c r="R11" s="18"/>
      <c r="S11" s="18"/>
      <c r="T11" s="18"/>
      <c r="U11" s="18"/>
      <c r="V11" s="41" t="str">
        <f>IF(C11="","",IFERROR(VLOOKUP(C11,SETUP!$A$9:$D$18,2,0),"⚠ Check SETUP"))</f>
      </c>
      <c r="W11" s="41" t="str">
        <f>IF(C11="","",IFERROR(VLOOKUP(C11,SETUP!$A$9:$D$18,3,0),"⚠ Check SETUP"))</f>
      </c>
      <c r="X11" s="40" t="str">
        <f>IF(C11="","",IFERROR(VLOOKUP(C11,SETUP!$A$9:$D$18,4,0),"⚠ Check SETUP"))</f>
      </c>
      <c r="Y11" s="42" t="str">
        <f t="shared" si="7"/>
      </c>
      <c r="Z11" s="42" t="str">
        <f t="shared" si="8"/>
      </c>
      <c r="AA11" s="42" t="str">
        <f t="shared" si="9"/>
      </c>
      <c r="AB11" s="42" t="str">
        <f t="shared" si="11"/>
      </c>
    </row>
    <row r="12" spans="1:28" ht="19.5" customHeight="1" x14ac:dyDescent="0.2">
      <c r="A12" s="20"/>
      <c r="B12" s="18"/>
      <c r="C12" s="18"/>
      <c r="D12" s="37"/>
      <c r="E12" s="38" t="str">
        <f t="shared" si="0"/>
      </c>
      <c r="F12" s="38" t="str">
        <f t="shared" si="1"/>
      </c>
      <c r="G12" s="38" t="str">
        <f t="shared" si="2"/>
      </c>
      <c r="H12" s="39"/>
      <c r="I12" s="19"/>
      <c r="J12" s="40" t="str">
        <f t="shared" si="3"/>
      </c>
      <c r="K12" s="78"/>
      <c r="L12" s="41" t="str">
        <f t="shared" si="10"/>
      </c>
      <c r="M12" s="41" t="str">
        <f t="shared" si="4"/>
      </c>
      <c r="N12" s="41" t="str">
        <f t="shared" si="5"/>
      </c>
      <c r="O12" s="41" t="str">
        <f t="shared" si="6"/>
      </c>
      <c r="P12" s="18"/>
      <c r="Q12" s="18"/>
      <c r="R12" s="18"/>
      <c r="S12" s="18"/>
      <c r="T12" s="18"/>
      <c r="U12" s="18"/>
      <c r="V12" s="41" t="str">
        <f>IF(C12="","",IFERROR(VLOOKUP(C12,SETUP!$A$9:$D$18,2,0),"⚠ Check SETUP"))</f>
      </c>
      <c r="W12" s="41" t="str">
        <f>IF(C12="","",IFERROR(VLOOKUP(C12,SETUP!$A$9:$D$18,3,0),"⚠ Check SETUP"))</f>
      </c>
      <c r="X12" s="40" t="str">
        <f>IF(C12="","",IFERROR(VLOOKUP(C12,SETUP!$A$9:$D$18,4,0),"⚠ Check SETUP"))</f>
      </c>
      <c r="Y12" s="42" t="str">
        <f t="shared" si="7"/>
      </c>
      <c r="Z12" s="42" t="str">
        <f t="shared" si="8"/>
      </c>
      <c r="AA12" s="42" t="str">
        <f t="shared" si="9"/>
      </c>
      <c r="AB12" s="42" t="str">
        <f t="shared" si="11"/>
      </c>
    </row>
    <row r="13" spans="1:28" ht="19.5" customHeight="1" x14ac:dyDescent="0.2">
      <c r="A13" s="20"/>
      <c r="B13" s="18"/>
      <c r="C13" s="18"/>
      <c r="D13" s="37"/>
      <c r="E13" s="38" t="str">
        <f t="shared" si="0"/>
      </c>
      <c r="F13" s="38" t="str">
        <f t="shared" si="1"/>
      </c>
      <c r="G13" s="38" t="str">
        <f t="shared" si="2"/>
      </c>
      <c r="H13" s="39"/>
      <c r="I13" s="19"/>
      <c r="J13" s="40" t="str">
        <f t="shared" si="3"/>
      </c>
      <c r="K13" s="78"/>
      <c r="L13" s="41" t="str">
        <f t="shared" si="10"/>
      </c>
      <c r="M13" s="41" t="str">
        <f t="shared" si="4"/>
      </c>
      <c r="N13" s="41" t="str">
        <f t="shared" si="5"/>
      </c>
      <c r="O13" s="41" t="str">
        <f t="shared" si="6"/>
      </c>
      <c r="P13" s="18"/>
      <c r="Q13" s="18"/>
      <c r="R13" s="18"/>
      <c r="S13" s="18"/>
      <c r="T13" s="18"/>
      <c r="U13" s="18"/>
      <c r="V13" s="41" t="str">
        <f>IF(C13="","",IFERROR(VLOOKUP(C13,SETUP!$A$9:$D$18,2,0),"⚠ Check SETUP"))</f>
      </c>
      <c r="W13" s="41" t="str">
        <f>IF(C13="","",IFERROR(VLOOKUP(C13,SETUP!$A$9:$D$18,3,0),"⚠ Check SETUP"))</f>
      </c>
      <c r="X13" s="40" t="str">
        <f>IF(C13="","",IFERROR(VLOOKUP(C13,SETUP!$A$9:$D$18,4,0),"⚠ Check SETUP"))</f>
      </c>
      <c r="Y13" s="42" t="str">
        <f t="shared" si="7"/>
      </c>
      <c r="Z13" s="42" t="str">
        <f t="shared" si="8"/>
      </c>
      <c r="AA13" s="42" t="str">
        <f t="shared" si="9"/>
      </c>
      <c r="AB13" s="42" t="str">
        <f t="shared" si="11"/>
      </c>
    </row>
    <row r="14" spans="1:28" ht="19.5" customHeight="1" x14ac:dyDescent="0.2">
      <c r="A14" s="20"/>
      <c r="B14" s="18"/>
      <c r="C14" s="18"/>
      <c r="D14" s="37"/>
      <c r="E14" s="38" t="str">
        <f t="shared" si="0"/>
      </c>
      <c r="F14" s="38" t="str">
        <f t="shared" si="1"/>
      </c>
      <c r="G14" s="38" t="str">
        <f t="shared" si="2"/>
      </c>
      <c r="H14" s="39"/>
      <c r="I14" s="19"/>
      <c r="J14" s="40" t="str">
        <f t="shared" si="3"/>
      </c>
      <c r="K14" s="78"/>
      <c r="L14" s="41" t="str">
        <f t="shared" si="10"/>
      </c>
      <c r="M14" s="41" t="str">
        <f t="shared" si="4"/>
      </c>
      <c r="N14" s="41" t="str">
        <f t="shared" si="5"/>
      </c>
      <c r="O14" s="41" t="str">
        <f t="shared" si="6"/>
      </c>
      <c r="P14" s="18"/>
      <c r="Q14" s="18"/>
      <c r="R14" s="18"/>
      <c r="S14" s="18"/>
      <c r="T14" s="18"/>
      <c r="U14" s="18"/>
      <c r="V14" s="41" t="str">
        <f>IF(C14="","",IFERROR(VLOOKUP(C14,SETUP!$A$9:$D$18,2,0),"⚠ Check SETUP"))</f>
      </c>
      <c r="W14" s="41" t="str">
        <f>IF(C14="","",IFERROR(VLOOKUP(C14,SETUP!$A$9:$D$18,3,0),"⚠ Check SETUP"))</f>
      </c>
      <c r="X14" s="40" t="str">
        <f>IF(C14="","",IFERROR(VLOOKUP(C14,SETUP!$A$9:$D$18,4,0),"⚠ Check SETUP"))</f>
      </c>
      <c r="Y14" s="42" t="str">
        <f t="shared" si="7"/>
      </c>
      <c r="Z14" s="42" t="str">
        <f t="shared" si="8"/>
      </c>
      <c r="AA14" s="42" t="str">
        <f t="shared" si="9"/>
      </c>
      <c r="AB14" s="42" t="str">
        <f t="shared" si="11"/>
      </c>
    </row>
    <row r="15" spans="1:28" ht="19.5" customHeight="1" x14ac:dyDescent="0.2">
      <c r="A15" s="20"/>
      <c r="B15" s="18"/>
      <c r="C15" s="18"/>
      <c r="D15" s="37"/>
      <c r="E15" s="38" t="str">
        <f t="shared" si="0"/>
      </c>
      <c r="F15" s="38" t="str">
        <f t="shared" si="1"/>
      </c>
      <c r="G15" s="38" t="str">
        <f t="shared" si="2"/>
      </c>
      <c r="H15" s="39"/>
      <c r="I15" s="19"/>
      <c r="J15" s="40" t="str">
        <f t="shared" si="3"/>
      </c>
      <c r="K15" s="78"/>
      <c r="L15" s="41" t="str">
        <f t="shared" si="10"/>
      </c>
      <c r="M15" s="41" t="str">
        <f t="shared" si="4"/>
      </c>
      <c r="N15" s="41" t="str">
        <f t="shared" si="5"/>
      </c>
      <c r="O15" s="41" t="str">
        <f t="shared" si="6"/>
      </c>
      <c r="P15" s="18"/>
      <c r="Q15" s="18"/>
      <c r="R15" s="18"/>
      <c r="S15" s="18"/>
      <c r="T15" s="18"/>
      <c r="U15" s="18"/>
      <c r="V15" s="41" t="str">
        <f>IF(C15="","",IFERROR(VLOOKUP(C15,SETUP!$A$9:$D$18,2,0),"⚠ Check SETUP"))</f>
      </c>
      <c r="W15" s="41" t="str">
        <f>IF(C15="","",IFERROR(VLOOKUP(C15,SETUP!$A$9:$D$18,3,0),"⚠ Check SETUP"))</f>
      </c>
      <c r="X15" s="40" t="str">
        <f>IF(C15="","",IFERROR(VLOOKUP(C15,SETUP!$A$9:$D$18,4,0),"⚠ Check SETUP"))</f>
      </c>
      <c r="Y15" s="42" t="str">
        <f t="shared" si="7"/>
      </c>
      <c r="Z15" s="42" t="str">
        <f t="shared" si="8"/>
      </c>
      <c r="AA15" s="42" t="str">
        <f t="shared" si="9"/>
      </c>
      <c r="AB15" s="42" t="str">
        <f t="shared" si="11"/>
      </c>
    </row>
    <row r="16" spans="1:28" ht="19.5" customHeight="1" x14ac:dyDescent="0.2">
      <c r="A16" s="20"/>
      <c r="B16" s="18"/>
      <c r="C16" s="18"/>
      <c r="D16" s="37"/>
      <c r="E16" s="38" t="str">
        <f t="shared" si="0"/>
      </c>
      <c r="F16" s="38" t="str">
        <f t="shared" si="1"/>
      </c>
      <c r="G16" s="38" t="str">
        <f t="shared" si="2"/>
      </c>
      <c r="H16" s="39"/>
      <c r="I16" s="19"/>
      <c r="J16" s="40" t="str">
        <f t="shared" si="3"/>
      </c>
      <c r="K16" s="78"/>
      <c r="L16" s="41" t="str">
        <f t="shared" si="10"/>
      </c>
      <c r="M16" s="41" t="str">
        <f t="shared" si="4"/>
      </c>
      <c r="N16" s="41" t="str">
        <f t="shared" si="5"/>
      </c>
      <c r="O16" s="41" t="str">
        <f t="shared" si="6"/>
      </c>
      <c r="P16" s="18"/>
      <c r="Q16" s="18"/>
      <c r="R16" s="18"/>
      <c r="S16" s="18"/>
      <c r="T16" s="18"/>
      <c r="U16" s="18"/>
      <c r="V16" s="41" t="str">
        <f>IF(C16="","",IFERROR(VLOOKUP(C16,SETUP!$A$9:$D$18,2,0),"⚠ Check SETUP"))</f>
      </c>
      <c r="W16" s="41" t="str">
        <f>IF(C16="","",IFERROR(VLOOKUP(C16,SETUP!$A$9:$D$18,3,0),"⚠ Check SETUP"))</f>
      </c>
      <c r="X16" s="40" t="str">
        <f>IF(C16="","",IFERROR(VLOOKUP(C16,SETUP!$A$9:$D$18,4,0),"⚠ Check SETUP"))</f>
      </c>
      <c r="Y16" s="42" t="str">
        <f t="shared" si="7"/>
      </c>
      <c r="Z16" s="42" t="str">
        <f t="shared" si="8"/>
      </c>
      <c r="AA16" s="42" t="str">
        <f t="shared" si="9"/>
      </c>
      <c r="AB16" s="42" t="str">
        <f t="shared" si="11"/>
      </c>
    </row>
    <row r="17" spans="1:28" ht="19.5" customHeight="1" x14ac:dyDescent="0.2">
      <c r="A17" s="20"/>
      <c r="B17" s="18"/>
      <c r="C17" s="18"/>
      <c r="D17" s="37"/>
      <c r="E17" s="38" t="str">
        <f t="shared" si="0"/>
      </c>
      <c r="F17" s="38" t="str">
        <f t="shared" si="1"/>
      </c>
      <c r="G17" s="38" t="str">
        <f t="shared" si="2"/>
      </c>
      <c r="H17" s="39"/>
      <c r="I17" s="19"/>
      <c r="J17" s="40" t="str">
        <f t="shared" si="3"/>
      </c>
      <c r="K17" s="78"/>
      <c r="L17" s="41" t="str">
        <f t="shared" si="10"/>
      </c>
      <c r="M17" s="41" t="str">
        <f t="shared" si="4"/>
      </c>
      <c r="N17" s="41" t="str">
        <f t="shared" si="5"/>
      </c>
      <c r="O17" s="41" t="str">
        <f t="shared" si="6"/>
      </c>
      <c r="P17" s="18"/>
      <c r="Q17" s="18"/>
      <c r="R17" s="18"/>
      <c r="S17" s="18"/>
      <c r="T17" s="18"/>
      <c r="U17" s="18"/>
      <c r="V17" s="41" t="str">
        <f>IF(C17="","",IFERROR(VLOOKUP(C17,SETUP!$A$9:$D$18,2,0),"⚠ Check SETUP"))</f>
      </c>
      <c r="W17" s="41" t="str">
        <f>IF(C17="","",IFERROR(VLOOKUP(C17,SETUP!$A$9:$D$18,3,0),"⚠ Check SETUP"))</f>
      </c>
      <c r="X17" s="40" t="str">
        <f>IF(C17="","",IFERROR(VLOOKUP(C17,SETUP!$A$9:$D$18,4,0),"⚠ Check SETUP"))</f>
      </c>
      <c r="Y17" s="42" t="str">
        <f t="shared" si="7"/>
      </c>
      <c r="Z17" s="42" t="str">
        <f t="shared" si="8"/>
      </c>
      <c r="AA17" s="42" t="str">
        <f t="shared" si="9"/>
      </c>
      <c r="AB17" s="42" t="str">
        <f t="shared" si="11"/>
      </c>
    </row>
    <row r="18" spans="1:28" ht="19.5" customHeight="1" x14ac:dyDescent="0.2">
      <c r="A18" s="20"/>
      <c r="B18" s="18"/>
      <c r="C18" s="18"/>
      <c r="D18" s="37"/>
      <c r="E18" s="38" t="str">
        <f t="shared" si="0"/>
      </c>
      <c r="F18" s="38" t="str">
        <f t="shared" si="1"/>
      </c>
      <c r="G18" s="38" t="str">
        <f t="shared" si="2"/>
      </c>
      <c r="H18" s="39"/>
      <c r="I18" s="19"/>
      <c r="J18" s="40" t="str">
        <f t="shared" si="3"/>
      </c>
      <c r="K18" s="78"/>
      <c r="L18" s="41" t="str">
        <f t="shared" si="10"/>
      </c>
      <c r="M18" s="41" t="str">
        <f t="shared" si="4"/>
      </c>
      <c r="N18" s="41" t="str">
        <f t="shared" si="5"/>
      </c>
      <c r="O18" s="41" t="str">
        <f t="shared" si="6"/>
      </c>
      <c r="P18" s="18"/>
      <c r="Q18" s="18"/>
      <c r="R18" s="18"/>
      <c r="S18" s="18"/>
      <c r="T18" s="18"/>
      <c r="U18" s="18"/>
      <c r="V18" s="41" t="str">
        <f>IF(C18="","",IFERROR(VLOOKUP(C18,SETUP!$A$9:$D$18,2,0),"⚠ Check SETUP"))</f>
      </c>
      <c r="W18" s="41" t="str">
        <f>IF(C18="","",IFERROR(VLOOKUP(C18,SETUP!$A$9:$D$18,3,0),"⚠ Check SETUP"))</f>
      </c>
      <c r="X18" s="40" t="str">
        <f>IF(C18="","",IFERROR(VLOOKUP(C18,SETUP!$A$9:$D$18,4,0),"⚠ Check SETUP"))</f>
      </c>
      <c r="Y18" s="42" t="str">
        <f t="shared" si="7"/>
      </c>
      <c r="Z18" s="42" t="str">
        <f t="shared" si="8"/>
      </c>
      <c r="AA18" s="42" t="str">
        <f t="shared" si="9"/>
      </c>
      <c r="AB18" s="42" t="str">
        <f t="shared" si="11"/>
      </c>
    </row>
    <row r="19" spans="1:28" ht="19.5" customHeight="1" x14ac:dyDescent="0.2">
      <c r="A19" s="20"/>
      <c r="B19" s="18"/>
      <c r="C19" s="18"/>
      <c r="D19" s="37"/>
      <c r="E19" s="38" t="str">
        <f t="shared" si="0"/>
      </c>
      <c r="F19" s="38" t="str">
        <f t="shared" si="1"/>
      </c>
      <c r="G19" s="38" t="str">
        <f t="shared" si="2"/>
      </c>
      <c r="H19" s="39"/>
      <c r="I19" s="19"/>
      <c r="J19" s="40" t="str">
        <f t="shared" si="3"/>
      </c>
      <c r="K19" s="78"/>
      <c r="L19" s="41" t="str">
        <f t="shared" si="10"/>
      </c>
      <c r="M19" s="41" t="str">
        <f t="shared" si="4"/>
      </c>
      <c r="N19" s="41" t="str">
        <f t="shared" si="5"/>
      </c>
      <c r="O19" s="41" t="str">
        <f t="shared" si="6"/>
      </c>
      <c r="P19" s="18"/>
      <c r="Q19" s="18"/>
      <c r="R19" s="18"/>
      <c r="S19" s="18"/>
      <c r="T19" s="18"/>
      <c r="U19" s="18"/>
      <c r="V19" s="41" t="str">
        <f>IF(C19="","",IFERROR(VLOOKUP(C19,SETUP!$A$9:$D$18,2,0),"⚠ Check SETUP"))</f>
      </c>
      <c r="W19" s="41" t="str">
        <f>IF(C19="","",IFERROR(VLOOKUP(C19,SETUP!$A$9:$D$18,3,0),"⚠ Check SETUP"))</f>
      </c>
      <c r="X19" s="40" t="str">
        <f>IF(C19="","",IFERROR(VLOOKUP(C19,SETUP!$A$9:$D$18,4,0),"⚠ Check SETUP"))</f>
      </c>
      <c r="Y19" s="42" t="str">
        <f t="shared" si="7"/>
      </c>
      <c r="Z19" s="42" t="str">
        <f t="shared" si="8"/>
      </c>
      <c r="AA19" s="42" t="str">
        <f t="shared" si="9"/>
      </c>
      <c r="AB19" s="42" t="str">
        <f t="shared" si="11"/>
      </c>
    </row>
    <row r="20" spans="1:28" ht="19.5" customHeight="1" x14ac:dyDescent="0.2">
      <c r="A20" s="20"/>
      <c r="B20" s="18"/>
      <c r="C20" s="18"/>
      <c r="D20" s="37"/>
      <c r="E20" s="38" t="str">
        <f t="shared" si="0"/>
      </c>
      <c r="F20" s="38" t="str">
        <f t="shared" si="1"/>
      </c>
      <c r="G20" s="38" t="str">
        <f t="shared" si="2"/>
      </c>
      <c r="H20" s="39"/>
      <c r="I20" s="19"/>
      <c r="J20" s="40" t="str">
        <f t="shared" si="3"/>
      </c>
      <c r="K20" s="78"/>
      <c r="L20" s="41" t="str">
        <f t="shared" si="10"/>
      </c>
      <c r="M20" s="41" t="str">
        <f t="shared" si="4"/>
      </c>
      <c r="N20" s="41" t="str">
        <f t="shared" si="5"/>
      </c>
      <c r="O20" s="41" t="str">
        <f t="shared" si="6"/>
      </c>
      <c r="P20" s="18"/>
      <c r="Q20" s="18"/>
      <c r="R20" s="18"/>
      <c r="S20" s="18"/>
      <c r="T20" s="18"/>
      <c r="U20" s="18"/>
      <c r="V20" s="41" t="str">
        <f>IF(C20="","",IFERROR(VLOOKUP(C20,SETUP!$A$9:$D$18,2,0),"⚠ Check SETUP"))</f>
      </c>
      <c r="W20" s="41" t="str">
        <f>IF(C20="","",IFERROR(VLOOKUP(C20,SETUP!$A$9:$D$18,3,0),"⚠ Check SETUP"))</f>
      </c>
      <c r="X20" s="40" t="str">
        <f>IF(C20="","",IFERROR(VLOOKUP(C20,SETUP!$A$9:$D$18,4,0),"⚠ Check SETUP"))</f>
      </c>
      <c r="Y20" s="42" t="str">
        <f t="shared" si="7"/>
      </c>
      <c r="Z20" s="42" t="str">
        <f t="shared" si="8"/>
      </c>
      <c r="AA20" s="42" t="str">
        <f t="shared" si="9"/>
      </c>
      <c r="AB20" s="42" t="str">
        <f t="shared" si="11"/>
      </c>
    </row>
    <row r="21" spans="1:28" ht="19.5" customHeight="1" x14ac:dyDescent="0.2">
      <c r="A21" s="20"/>
      <c r="B21" s="18"/>
      <c r="C21" s="18"/>
      <c r="D21" s="37"/>
      <c r="E21" s="38" t="str">
        <f t="shared" si="0"/>
      </c>
      <c r="F21" s="38" t="str">
        <f t="shared" si="1"/>
      </c>
      <c r="G21" s="38" t="str">
        <f t="shared" si="2"/>
      </c>
      <c r="H21" s="39"/>
      <c r="I21" s="19"/>
      <c r="J21" s="40" t="str">
        <f t="shared" si="3"/>
      </c>
      <c r="K21" s="78"/>
      <c r="L21" s="41" t="str">
        <f t="shared" si="10"/>
      </c>
      <c r="M21" s="41" t="str">
        <f t="shared" si="4"/>
      </c>
      <c r="N21" s="41" t="str">
        <f t="shared" si="5"/>
      </c>
      <c r="O21" s="41" t="str">
        <f t="shared" si="6"/>
      </c>
      <c r="P21" s="18"/>
      <c r="Q21" s="18"/>
      <c r="R21" s="18"/>
      <c r="S21" s="18"/>
      <c r="T21" s="18"/>
      <c r="U21" s="18"/>
      <c r="V21" s="41" t="str">
        <f>IF(C21="","",IFERROR(VLOOKUP(C21,SETUP!$A$9:$D$18,2,0),"⚠ Check SETUP"))</f>
      </c>
      <c r="W21" s="41" t="str">
        <f>IF(C21="","",IFERROR(VLOOKUP(C21,SETUP!$A$9:$D$18,3,0),"⚠ Check SETUP"))</f>
      </c>
      <c r="X21" s="40" t="str">
        <f>IF(C21="","",IFERROR(VLOOKUP(C21,SETUP!$A$9:$D$18,4,0),"⚠ Check SETUP"))</f>
      </c>
      <c r="Y21" s="42" t="str">
        <f t="shared" si="7"/>
      </c>
      <c r="Z21" s="42" t="str">
        <f t="shared" si="8"/>
      </c>
      <c r="AA21" s="42" t="str">
        <f t="shared" si="9"/>
      </c>
      <c r="AB21" s="42" t="str">
        <f t="shared" si="11"/>
      </c>
    </row>
    <row r="22" spans="1:28" ht="19.5" customHeight="1" x14ac:dyDescent="0.2">
      <c r="A22" s="20"/>
      <c r="B22" s="18"/>
      <c r="C22" s="18"/>
      <c r="D22" s="37"/>
      <c r="E22" s="38" t="str">
        <f t="shared" si="0"/>
      </c>
      <c r="F22" s="38" t="str">
        <f t="shared" si="1"/>
      </c>
      <c r="G22" s="38" t="str">
        <f t="shared" si="2"/>
      </c>
      <c r="H22" s="39"/>
      <c r="I22" s="19"/>
      <c r="J22" s="40" t="str">
        <f t="shared" si="3"/>
      </c>
      <c r="K22" s="78"/>
      <c r="L22" s="41" t="str">
        <f t="shared" si="10"/>
      </c>
      <c r="M22" s="41" t="str">
        <f t="shared" si="4"/>
      </c>
      <c r="N22" s="41" t="str">
        <f t="shared" si="5"/>
      </c>
      <c r="O22" s="41" t="str">
        <f t="shared" si="6"/>
      </c>
      <c r="P22" s="18"/>
      <c r="Q22" s="18"/>
      <c r="R22" s="18"/>
      <c r="S22" s="18"/>
      <c r="T22" s="18"/>
      <c r="U22" s="18"/>
      <c r="V22" s="41" t="str">
        <f>IF(C22="","",IFERROR(VLOOKUP(C22,SETUP!$A$9:$D$18,2,0),"⚠ Check SETUP"))</f>
      </c>
      <c r="W22" s="41" t="str">
        <f>IF(C22="","",IFERROR(VLOOKUP(C22,SETUP!$A$9:$D$18,3,0),"⚠ Check SETUP"))</f>
      </c>
      <c r="X22" s="40" t="str">
        <f>IF(C22="","",IFERROR(VLOOKUP(C22,SETUP!$A$9:$D$18,4,0),"⚠ Check SETUP"))</f>
      </c>
      <c r="Y22" s="42" t="str">
        <f t="shared" si="7"/>
      </c>
      <c r="Z22" s="42" t="str">
        <f t="shared" si="8"/>
      </c>
      <c r="AA22" s="42" t="str">
        <f t="shared" si="9"/>
      </c>
      <c r="AB22" s="42" t="str">
        <f t="shared" si="11"/>
      </c>
    </row>
    <row r="23" spans="1:28" ht="19.5" customHeight="1" x14ac:dyDescent="0.2">
      <c r="A23" s="20"/>
      <c r="B23" s="18"/>
      <c r="C23" s="18"/>
      <c r="D23" s="37"/>
      <c r="E23" s="38" t="str">
        <f t="shared" si="0"/>
      </c>
      <c r="F23" s="38" t="str">
        <f t="shared" si="1"/>
      </c>
      <c r="G23" s="38" t="str">
        <f t="shared" si="2"/>
      </c>
      <c r="H23" s="39"/>
      <c r="I23" s="19"/>
      <c r="J23" s="40" t="str">
        <f t="shared" si="3"/>
      </c>
      <c r="K23" s="78"/>
      <c r="L23" s="41" t="str">
        <f t="shared" si="10"/>
      </c>
      <c r="M23" s="41" t="str">
        <f t="shared" si="4"/>
      </c>
      <c r="N23" s="41" t="str">
        <f t="shared" si="5"/>
      </c>
      <c r="O23" s="41" t="str">
        <f t="shared" si="6"/>
      </c>
      <c r="P23" s="18"/>
      <c r="Q23" s="18"/>
      <c r="R23" s="18"/>
      <c r="S23" s="18"/>
      <c r="T23" s="18"/>
      <c r="U23" s="18"/>
      <c r="V23" s="41" t="str">
        <f>IF(C23="","",IFERROR(VLOOKUP(C23,SETUP!$A$9:$D$18,2,0),"⚠ Check SETUP"))</f>
      </c>
      <c r="W23" s="41" t="str">
        <f>IF(C23="","",IFERROR(VLOOKUP(C23,SETUP!$A$9:$D$18,3,0),"⚠ Check SETUP"))</f>
      </c>
      <c r="X23" s="40" t="str">
        <f>IF(C23="","",IFERROR(VLOOKUP(C23,SETUP!$A$9:$D$18,4,0),"⚠ Check SETUP"))</f>
      </c>
      <c r="Y23" s="42" t="str">
        <f t="shared" si="7"/>
      </c>
      <c r="Z23" s="42" t="str">
        <f t="shared" si="8"/>
      </c>
      <c r="AA23" s="42" t="str">
        <f t="shared" si="9"/>
      </c>
      <c r="AB23" s="42" t="str">
        <f t="shared" si="11"/>
      </c>
    </row>
    <row r="24" spans="1:28" ht="19.5" customHeight="1" x14ac:dyDescent="0.2">
      <c r="A24" s="20"/>
      <c r="B24" s="18"/>
      <c r="C24" s="18"/>
      <c r="D24" s="37"/>
      <c r="E24" s="38" t="str">
        <f t="shared" si="0"/>
      </c>
      <c r="F24" s="38" t="str">
        <f t="shared" si="1"/>
      </c>
      <c r="G24" s="38" t="str">
        <f t="shared" si="2"/>
      </c>
      <c r="H24" s="39"/>
      <c r="I24" s="19"/>
      <c r="J24" s="40" t="str">
        <f t="shared" si="3"/>
      </c>
      <c r="K24" s="78"/>
      <c r="L24" s="41" t="str">
        <f t="shared" si="10"/>
      </c>
      <c r="M24" s="41" t="str">
        <f t="shared" si="4"/>
      </c>
      <c r="N24" s="41" t="str">
        <f t="shared" si="5"/>
      </c>
      <c r="O24" s="41" t="str">
        <f t="shared" si="6"/>
      </c>
      <c r="P24" s="18"/>
      <c r="Q24" s="18"/>
      <c r="R24" s="18"/>
      <c r="S24" s="18"/>
      <c r="T24" s="18"/>
      <c r="U24" s="18"/>
      <c r="V24" s="41" t="str">
        <f>IF(C24="","",IFERROR(VLOOKUP(C24,SETUP!$A$9:$D$18,2,0),"⚠ Check SETUP"))</f>
      </c>
      <c r="W24" s="41" t="str">
        <f>IF(C24="","",IFERROR(VLOOKUP(C24,SETUP!$A$9:$D$18,3,0),"⚠ Check SETUP"))</f>
      </c>
      <c r="X24" s="40" t="str">
        <f>IF(C24="","",IFERROR(VLOOKUP(C24,SETUP!$A$9:$D$18,4,0),"⚠ Check SETUP"))</f>
      </c>
      <c r="Y24" s="42" t="str">
        <f t="shared" si="7"/>
      </c>
      <c r="Z24" s="42" t="str">
        <f t="shared" si="8"/>
      </c>
      <c r="AA24" s="42" t="str">
        <f t="shared" si="9"/>
      </c>
      <c r="AB24" s="42" t="str">
        <f t="shared" si="11"/>
      </c>
    </row>
    <row r="25" spans="1:28" ht="19.5" customHeight="1" x14ac:dyDescent="0.2">
      <c r="A25" s="20"/>
      <c r="B25" s="18"/>
      <c r="C25" s="18"/>
      <c r="D25" s="37"/>
      <c r="E25" s="38" t="str">
        <f t="shared" si="0"/>
      </c>
      <c r="F25" s="38" t="str">
        <f t="shared" si="1"/>
      </c>
      <c r="G25" s="38" t="str">
        <f t="shared" si="2"/>
      </c>
      <c r="H25" s="39"/>
      <c r="I25" s="19"/>
      <c r="J25" s="40" t="str">
        <f t="shared" si="3"/>
      </c>
      <c r="K25" s="78"/>
      <c r="L25" s="41" t="str">
        <f t="shared" si="10"/>
      </c>
      <c r="M25" s="41" t="str">
        <f t="shared" si="4"/>
      </c>
      <c r="N25" s="41" t="str">
        <f t="shared" si="5"/>
      </c>
      <c r="O25" s="41" t="str">
        <f t="shared" si="6"/>
      </c>
      <c r="P25" s="18"/>
      <c r="Q25" s="18"/>
      <c r="R25" s="18"/>
      <c r="S25" s="18"/>
      <c r="T25" s="18"/>
      <c r="U25" s="18"/>
      <c r="V25" s="41" t="str">
        <f>IF(C25="","",IFERROR(VLOOKUP(C25,SETUP!$A$9:$D$18,2,0),"⚠ Check SETUP"))</f>
      </c>
      <c r="W25" s="41" t="str">
        <f>IF(C25="","",IFERROR(VLOOKUP(C25,SETUP!$A$9:$D$18,3,0),"⚠ Check SETUP"))</f>
      </c>
      <c r="X25" s="40" t="str">
        <f>IF(C25="","",IFERROR(VLOOKUP(C25,SETUP!$A$9:$D$18,4,0),"⚠ Check SETUP"))</f>
      </c>
      <c r="Y25" s="42" t="str">
        <f t="shared" si="7"/>
      </c>
      <c r="Z25" s="42" t="str">
        <f t="shared" si="8"/>
      </c>
      <c r="AA25" s="42" t="str">
        <f t="shared" si="9"/>
      </c>
      <c r="AB25" s="42" t="str">
        <f t="shared" si="11"/>
      </c>
    </row>
    <row r="26" spans="1:28" ht="19.5" customHeight="1" x14ac:dyDescent="0.2">
      <c r="A26" s="20"/>
      <c r="B26" s="18"/>
      <c r="C26" s="18"/>
      <c r="D26" s="37"/>
      <c r="E26" s="38" t="str">
        <f t="shared" si="0"/>
      </c>
      <c r="F26" s="38" t="str">
        <f t="shared" si="1"/>
      </c>
      <c r="G26" s="38" t="str">
        <f t="shared" si="2"/>
      </c>
      <c r="H26" s="39"/>
      <c r="I26" s="19"/>
      <c r="J26" s="40" t="str">
        <f t="shared" si="3"/>
      </c>
      <c r="K26" s="78"/>
      <c r="L26" s="41" t="str">
        <f t="shared" si="10"/>
      </c>
      <c r="M26" s="41" t="str">
        <f t="shared" si="4"/>
      </c>
      <c r="N26" s="41" t="str">
        <f t="shared" si="5"/>
      </c>
      <c r="O26" s="41" t="str">
        <f t="shared" si="6"/>
      </c>
      <c r="P26" s="18"/>
      <c r="Q26" s="18"/>
      <c r="R26" s="18"/>
      <c r="S26" s="18"/>
      <c r="T26" s="18"/>
      <c r="U26" s="18"/>
      <c r="V26" s="41" t="str">
        <f>IF(C26="","",IFERROR(VLOOKUP(C26,SETUP!$A$9:$D$18,2,0),"⚠ Check SETUP"))</f>
      </c>
      <c r="W26" s="41" t="str">
        <f>IF(C26="","",IFERROR(VLOOKUP(C26,SETUP!$A$9:$D$18,3,0),"⚠ Check SETUP"))</f>
      </c>
      <c r="X26" s="40" t="str">
        <f>IF(C26="","",IFERROR(VLOOKUP(C26,SETUP!$A$9:$D$18,4,0),"⚠ Check SETUP"))</f>
      </c>
      <c r="Y26" s="42" t="str">
        <f t="shared" si="7"/>
      </c>
      <c r="Z26" s="42" t="str">
        <f t="shared" si="8"/>
      </c>
      <c r="AA26" s="42" t="str">
        <f t="shared" si="9"/>
      </c>
      <c r="AB26" s="42" t="str">
        <f t="shared" si="11"/>
      </c>
    </row>
    <row r="27" spans="1:28" ht="19.5" customHeight="1" x14ac:dyDescent="0.2">
      <c r="A27" s="20"/>
      <c r="B27" s="18"/>
      <c r="C27" s="18"/>
      <c r="D27" s="37"/>
      <c r="E27" s="38" t="str">
        <f t="shared" si="0"/>
      </c>
      <c r="F27" s="38" t="str">
        <f t="shared" si="1"/>
      </c>
      <c r="G27" s="38" t="str">
        <f t="shared" si="2"/>
      </c>
      <c r="H27" s="39"/>
      <c r="I27" s="19"/>
      <c r="J27" s="40" t="str">
        <f t="shared" si="3"/>
      </c>
      <c r="K27" s="78"/>
      <c r="L27" s="41" t="str">
        <f t="shared" si="10"/>
      </c>
      <c r="M27" s="41" t="str">
        <f t="shared" si="4"/>
      </c>
      <c r="N27" s="41" t="str">
        <f t="shared" si="5"/>
      </c>
      <c r="O27" s="41" t="str">
        <f t="shared" si="6"/>
      </c>
      <c r="P27" s="18"/>
      <c r="Q27" s="18"/>
      <c r="R27" s="18"/>
      <c r="S27" s="18"/>
      <c r="T27" s="18"/>
      <c r="U27" s="18"/>
      <c r="V27" s="41" t="str">
        <f>IF(C27="","",IFERROR(VLOOKUP(C27,SETUP!$A$9:$D$18,2,0),"⚠ Check SETUP"))</f>
      </c>
      <c r="W27" s="41" t="str">
        <f>IF(C27="","",IFERROR(VLOOKUP(C27,SETUP!$A$9:$D$18,3,0),"⚠ Check SETUP"))</f>
      </c>
      <c r="X27" s="40" t="str">
        <f>IF(C27="","",IFERROR(VLOOKUP(C27,SETUP!$A$9:$D$18,4,0),"⚠ Check SETUP"))</f>
      </c>
      <c r="Y27" s="42" t="str">
        <f t="shared" si="7"/>
      </c>
      <c r="Z27" s="42" t="str">
        <f t="shared" si="8"/>
      </c>
      <c r="AA27" s="42" t="str">
        <f t="shared" si="9"/>
      </c>
      <c r="AB27" s="42" t="str">
        <f t="shared" si="11"/>
      </c>
    </row>
    <row r="28" spans="1:28" ht="19.5" customHeight="1" x14ac:dyDescent="0.2">
      <c r="A28" s="20"/>
      <c r="B28" s="18"/>
      <c r="C28" s="18"/>
      <c r="D28" s="37"/>
      <c r="E28" s="38" t="str">
        <f t="shared" si="0"/>
      </c>
      <c r="F28" s="38" t="str">
        <f t="shared" si="1"/>
      </c>
      <c r="G28" s="38" t="str">
        <f t="shared" si="2"/>
      </c>
      <c r="H28" s="39"/>
      <c r="I28" s="19"/>
      <c r="J28" s="40" t="str">
        <f t="shared" si="3"/>
      </c>
      <c r="K28" s="78"/>
      <c r="L28" s="41" t="str">
        <f t="shared" si="10"/>
      </c>
      <c r="M28" s="41" t="str">
        <f t="shared" si="4"/>
      </c>
      <c r="N28" s="41" t="str">
        <f t="shared" si="5"/>
      </c>
      <c r="O28" s="41" t="str">
        <f t="shared" si="6"/>
      </c>
      <c r="P28" s="18"/>
      <c r="Q28" s="18"/>
      <c r="R28" s="18"/>
      <c r="S28" s="18"/>
      <c r="T28" s="18"/>
      <c r="U28" s="18"/>
      <c r="V28" s="41" t="str">
        <f>IF(C28="","",IFERROR(VLOOKUP(C28,SETUP!$A$9:$D$18,2,0),"⚠ Check SETUP"))</f>
      </c>
      <c r="W28" s="41" t="str">
        <f>IF(C28="","",IFERROR(VLOOKUP(C28,SETUP!$A$9:$D$18,3,0),"⚠ Check SETUP"))</f>
      </c>
      <c r="X28" s="40" t="str">
        <f>IF(C28="","",IFERROR(VLOOKUP(C28,SETUP!$A$9:$D$18,4,0),"⚠ Check SETUP"))</f>
      </c>
      <c r="Y28" s="42" t="str">
        <f t="shared" si="7"/>
      </c>
      <c r="Z28" s="42" t="str">
        <f t="shared" si="8"/>
      </c>
      <c r="AA28" s="42" t="str">
        <f t="shared" si="9"/>
      </c>
      <c r="AB28" s="42" t="str">
        <f t="shared" si="11"/>
      </c>
    </row>
    <row r="29" spans="1:28" ht="19.5" customHeight="1" x14ac:dyDescent="0.2">
      <c r="A29" s="20"/>
      <c r="B29" s="18"/>
      <c r="C29" s="18"/>
      <c r="D29" s="37"/>
      <c r="E29" s="38" t="str">
        <f t="shared" si="0"/>
      </c>
      <c r="F29" s="38" t="str">
        <f t="shared" si="1"/>
      </c>
      <c r="G29" s="38" t="str">
        <f t="shared" si="2"/>
      </c>
      <c r="H29" s="39"/>
      <c r="I29" s="19"/>
      <c r="J29" s="40" t="str">
        <f t="shared" si="3"/>
      </c>
      <c r="K29" s="78"/>
      <c r="L29" s="41" t="str">
        <f t="shared" si="10"/>
      </c>
      <c r="M29" s="41" t="str">
        <f t="shared" si="4"/>
      </c>
      <c r="N29" s="41" t="str">
        <f t="shared" si="5"/>
      </c>
      <c r="O29" s="41" t="str">
        <f t="shared" si="6"/>
      </c>
      <c r="P29" s="18"/>
      <c r="Q29" s="18"/>
      <c r="R29" s="18"/>
      <c r="S29" s="18"/>
      <c r="T29" s="18"/>
      <c r="U29" s="18"/>
      <c r="V29" s="41" t="str">
        <f>IF(C29="","",IFERROR(VLOOKUP(C29,SETUP!$A$9:$D$18,2,0),"⚠ Check SETUP"))</f>
      </c>
      <c r="W29" s="41" t="str">
        <f>IF(C29="","",IFERROR(VLOOKUP(C29,SETUP!$A$9:$D$18,3,0),"⚠ Check SETUP"))</f>
      </c>
      <c r="X29" s="40" t="str">
        <f>IF(C29="","",IFERROR(VLOOKUP(C29,SETUP!$A$9:$D$18,4,0),"⚠ Check SETUP"))</f>
      </c>
      <c r="Y29" s="42" t="str">
        <f t="shared" si="7"/>
      </c>
      <c r="Z29" s="42" t="str">
        <f t="shared" si="8"/>
      </c>
      <c r="AA29" s="42" t="str">
        <f t="shared" si="9"/>
      </c>
      <c r="AB29" s="42" t="str">
        <f t="shared" si="11"/>
      </c>
    </row>
    <row r="30" spans="1:28" ht="19.5" customHeight="1" x14ac:dyDescent="0.2">
      <c r="A30" s="20"/>
      <c r="B30" s="18"/>
      <c r="C30" s="18"/>
      <c r="D30" s="37"/>
      <c r="E30" s="38" t="str">
        <f t="shared" si="0"/>
      </c>
      <c r="F30" s="38" t="str">
        <f t="shared" si="1"/>
      </c>
      <c r="G30" s="38" t="str">
        <f t="shared" si="2"/>
      </c>
      <c r="H30" s="39"/>
      <c r="I30" s="19"/>
      <c r="J30" s="40" t="str">
        <f t="shared" si="3"/>
      </c>
      <c r="K30" s="78"/>
      <c r="L30" s="41" t="str">
        <f t="shared" si="10"/>
      </c>
      <c r="M30" s="41" t="str">
        <f t="shared" si="4"/>
      </c>
      <c r="N30" s="41" t="str">
        <f t="shared" si="5"/>
      </c>
      <c r="O30" s="41" t="str">
        <f t="shared" si="6"/>
      </c>
      <c r="P30" s="18"/>
      <c r="Q30" s="18"/>
      <c r="R30" s="18"/>
      <c r="S30" s="18"/>
      <c r="T30" s="18"/>
      <c r="U30" s="18"/>
      <c r="V30" s="41" t="str">
        <f>IF(C30="","",IFERROR(VLOOKUP(C30,SETUP!$A$9:$D$18,2,0),"⚠ Check SETUP"))</f>
      </c>
      <c r="W30" s="41" t="str">
        <f>IF(C30="","",IFERROR(VLOOKUP(C30,SETUP!$A$9:$D$18,3,0),"⚠ Check SETUP"))</f>
      </c>
      <c r="X30" s="40" t="str">
        <f>IF(C30="","",IFERROR(VLOOKUP(C30,SETUP!$A$9:$D$18,4,0),"⚠ Check SETUP"))</f>
      </c>
      <c r="Y30" s="42" t="str">
        <f t="shared" si="7"/>
      </c>
      <c r="Z30" s="42" t="str">
        <f t="shared" si="8"/>
      </c>
      <c r="AA30" s="42" t="str">
        <f t="shared" si="9"/>
      </c>
      <c r="AB30" s="42" t="str">
        <f t="shared" si="11"/>
      </c>
    </row>
    <row r="31" spans="1:28" ht="19.5" customHeight="1" x14ac:dyDescent="0.2">
      <c r="A31" s="20"/>
      <c r="B31" s="18"/>
      <c r="C31" s="18"/>
      <c r="D31" s="37"/>
      <c r="E31" s="38" t="str">
        <f t="shared" si="0"/>
      </c>
      <c r="F31" s="38" t="str">
        <f t="shared" si="1"/>
      </c>
      <c r="G31" s="38" t="str">
        <f t="shared" si="2"/>
      </c>
      <c r="H31" s="39"/>
      <c r="I31" s="19"/>
      <c r="J31" s="40" t="str">
        <f t="shared" si="3"/>
      </c>
      <c r="K31" s="78"/>
      <c r="L31" s="41" t="str">
        <f t="shared" si="10"/>
      </c>
      <c r="M31" s="41" t="str">
        <f t="shared" si="4"/>
      </c>
      <c r="N31" s="41" t="str">
        <f t="shared" si="5"/>
      </c>
      <c r="O31" s="41" t="str">
        <f t="shared" si="6"/>
      </c>
      <c r="P31" s="18"/>
      <c r="Q31" s="18"/>
      <c r="R31" s="18"/>
      <c r="S31" s="18"/>
      <c r="T31" s="18"/>
      <c r="U31" s="18"/>
      <c r="V31" s="41" t="str">
        <f>IF(C31="","",IFERROR(VLOOKUP(C31,SETUP!$A$9:$D$18,2,0),"⚠ Check SETUP"))</f>
      </c>
      <c r="W31" s="41" t="str">
        <f>IF(C31="","",IFERROR(VLOOKUP(C31,SETUP!$A$9:$D$18,3,0),"⚠ Check SETUP"))</f>
      </c>
      <c r="X31" s="40" t="str">
        <f>IF(C31="","",IFERROR(VLOOKUP(C31,SETUP!$A$9:$D$18,4,0),"⚠ Check SETUP"))</f>
      </c>
      <c r="Y31" s="42" t="str">
        <f t="shared" si="7"/>
      </c>
      <c r="Z31" s="42" t="str">
        <f t="shared" si="8"/>
      </c>
      <c r="AA31" s="42" t="str">
        <f t="shared" si="9"/>
      </c>
      <c r="AB31" s="42" t="str">
        <f t="shared" si="11"/>
      </c>
    </row>
    <row r="32" spans="1:28" ht="19.5" customHeight="1" x14ac:dyDescent="0.2">
      <c r="A32" s="20"/>
      <c r="B32" s="18"/>
      <c r="C32" s="18"/>
      <c r="D32" s="37"/>
      <c r="E32" s="38" t="str">
        <f t="shared" si="0"/>
      </c>
      <c r="F32" s="38" t="str">
        <f t="shared" si="1"/>
      </c>
      <c r="G32" s="38" t="str">
        <f t="shared" si="2"/>
      </c>
      <c r="H32" s="39"/>
      <c r="I32" s="19"/>
      <c r="J32" s="40" t="str">
        <f t="shared" si="3"/>
      </c>
      <c r="K32" s="78"/>
      <c r="L32" s="41" t="str">
        <f t="shared" si="10"/>
      </c>
      <c r="M32" s="41" t="str">
        <f t="shared" si="4"/>
      </c>
      <c r="N32" s="41" t="str">
        <f t="shared" si="5"/>
      </c>
      <c r="O32" s="41" t="str">
        <f t="shared" si="6"/>
      </c>
      <c r="P32" s="18"/>
      <c r="Q32" s="18"/>
      <c r="R32" s="18"/>
      <c r="S32" s="18"/>
      <c r="T32" s="18"/>
      <c r="U32" s="18"/>
      <c r="V32" s="41" t="str">
        <f>IF(C32="","",IFERROR(VLOOKUP(C32,SETUP!$A$9:$D$18,2,0),"⚠ Check SETUP"))</f>
      </c>
      <c r="W32" s="41" t="str">
        <f>IF(C32="","",IFERROR(VLOOKUP(C32,SETUP!$A$9:$D$18,3,0),"⚠ Check SETUP"))</f>
      </c>
      <c r="X32" s="40" t="str">
        <f>IF(C32="","",IFERROR(VLOOKUP(C32,SETUP!$A$9:$D$18,4,0),"⚠ Check SETUP"))</f>
      </c>
      <c r="Y32" s="42" t="str">
        <f t="shared" si="7"/>
      </c>
      <c r="Z32" s="42" t="str">
        <f t="shared" si="8"/>
      </c>
      <c r="AA32" s="42" t="str">
        <f t="shared" si="9"/>
      </c>
      <c r="AB32" s="42" t="str">
        <f t="shared" si="11"/>
      </c>
    </row>
    <row r="33" spans="1:28" ht="19.5" customHeight="1" x14ac:dyDescent="0.2">
      <c r="A33" s="20"/>
      <c r="B33" s="18"/>
      <c r="C33" s="18"/>
      <c r="D33" s="37"/>
      <c r="E33" s="38" t="str">
        <f t="shared" si="0"/>
      </c>
      <c r="F33" s="38" t="str">
        <f t="shared" si="1"/>
      </c>
      <c r="G33" s="38" t="str">
        <f t="shared" si="2"/>
      </c>
      <c r="H33" s="39"/>
      <c r="I33" s="19"/>
      <c r="J33" s="40" t="str">
        <f t="shared" si="3"/>
      </c>
      <c r="K33" s="78"/>
      <c r="L33" s="41" t="str">
        <f t="shared" si="10"/>
      </c>
      <c r="M33" s="41" t="str">
        <f t="shared" si="4"/>
      </c>
      <c r="N33" s="41" t="str">
        <f t="shared" si="5"/>
      </c>
      <c r="O33" s="41" t="str">
        <f t="shared" si="6"/>
      </c>
      <c r="P33" s="18"/>
      <c r="Q33" s="18"/>
      <c r="R33" s="18"/>
      <c r="S33" s="18"/>
      <c r="T33" s="18"/>
      <c r="U33" s="18"/>
      <c r="V33" s="41" t="str">
        <f>IF(C33="","",IFERROR(VLOOKUP(C33,SETUP!$A$9:$D$18,2,0),"⚠ Check SETUP"))</f>
      </c>
      <c r="W33" s="41" t="str">
        <f>IF(C33="","",IFERROR(VLOOKUP(C33,SETUP!$A$9:$D$18,3,0),"⚠ Check SETUP"))</f>
      </c>
      <c r="X33" s="40" t="str">
        <f>IF(C33="","",IFERROR(VLOOKUP(C33,SETUP!$A$9:$D$18,4,0),"⚠ Check SETUP"))</f>
      </c>
      <c r="Y33" s="42" t="str">
        <f t="shared" si="7"/>
      </c>
      <c r="Z33" s="42" t="str">
        <f t="shared" si="8"/>
      </c>
      <c r="AA33" s="42" t="str">
        <f t="shared" si="9"/>
      </c>
      <c r="AB33" s="42" t="str">
        <f t="shared" si="11"/>
      </c>
    </row>
    <row r="34" spans="1:28" ht="21.75" customHeight="1" x14ac:dyDescent="0.2">
      <c r="X34" s="43" t="inlineStr">
        <is>
          <t>Portfolio Avg
(Excl. NTV) →</t>
        </is>
      </c>
      <c r="Y34" s="44" t="str">
        <f>IFERROR(AVERAGEIFS(Y4:Y33,S4:S33,""),"")</f>
      </c>
      <c r="Z34" s="44" t="str">
        <f>IFERROR(AVERAGEIFS(Z4:Z33,S4:S33,""),"")</f>
      </c>
      <c r="AA34" s="44" t="str">
        <f>IFERROR(AVERAGEIFS(AA4:AA33,S4:S33,""),"")</f>
      </c>
      <c r="AB34" s="44" t="str">
        <f>IFERROR(AVERAGEIF(AB4:AB33,"&lt;&gt;"),"")</f>
      </c>
    </row>
    <row r="36" spans="1:24" ht="25.5" customHeight="1" x14ac:dyDescent="0.2">
      <c r="A36" s="4" t="s">
        <v>97</v>
      </c>
      <c r="B36" s="4"/>
      <c r="C36" s="4"/>
      <c r="D36" s="4"/>
      <c r="E36" s="4"/>
      <c r="F36" s="4"/>
      <c r="G36" s="4"/>
      <c r="H36" s="45"/>
    </row>
    <row r="37" spans="1:24" ht="21.75" customHeight="1" x14ac:dyDescent="0.2">
      <c r="A37" s="46" t="s">
        <v>98</v>
      </c>
      <c r="B37" s="46" t="s">
        <v>99</v>
      </c>
      <c r="C37" s="46" t="s">
        <v>100</v>
      </c>
      <c r="D37" s="46" t="s">
        <v>101</v>
      </c>
      <c r="E37" s="46" t="s">
        <v>102</v>
      </c>
      <c r="F37" s="45"/>
      <c r="G37" s="45"/>
      <c r="H37" s="45"/>
    </row>
    <row r="38" spans="1:24" ht="21.75" customHeight="1" x14ac:dyDescent="0.2">
      <c r="A38" s="47" t="s">
        <v>103</v>
      </c>
      <c r="B38" s="48">
        <f>COUNTA(A4:A33)</f>
        <v>0</v>
      </c>
      <c r="C38" s="49"/>
      <c r="D38" s="49"/>
      <c r="E38" s="49"/>
      <c r="F38" s="45"/>
      <c r="G38" s="45"/>
      <c r="H38" s="45"/>
    </row>
    <row r="39" spans="1:24" ht="21.75" customHeight="1" x14ac:dyDescent="0.2">
      <c r="A39" s="50" t="s">
        <v>104</v>
      </c>
      <c r="B39" s="51">
        <f>COUNTA(Q4:Q33)</f>
      </c>
      <c r="C39" s="52" t="str">
        <f>IFERROR(B39/B38,"-")</f>
        <v>-</v>
      </c>
      <c r="D39" s="52" t="str">
        <f>IFERROR(B39/(B39+B40),"-")</f>
        <v>-</v>
      </c>
      <c r="E39" s="53" t="str">
        <f>IF(B38=0,"Awaiting data",IF(B39/B38&gt;=0.6,"On Track ✓","Needs Attention ⚠"))</f>
        <v>Awaiting data</v>
      </c>
      <c r="F39" s="45"/>
      <c r="G39" s="45"/>
      <c r="H39" s="45"/>
    </row>
    <row r="40" spans="1:24" ht="21.75" customHeight="1" x14ac:dyDescent="0.2">
      <c r="A40" s="54" t="s">
        <v>105</v>
      </c>
      <c r="B40" s="55">
        <f>COUNTA(S4:S33)</f>
      </c>
      <c r="C40" s="56" t="str">
        <f>IFERROR(B40/B38,"-")</f>
        <v>-</v>
      </c>
      <c r="D40" s="56" t="str">
        <f>IFERROR(B40/(B39+B40),"-")</f>
        <v>-</v>
      </c>
      <c r="E40" s="57" t="str">
        <f>IF(B38=0,"Awaiting data",IF(B40/B38&lt;=0.2,"Acceptable","High NTV ⚠"))</f>
        <v>Awaiting data</v>
      </c>
      <c r="F40" s="45"/>
      <c r="G40" s="45"/>
      <c r="H40" s="45"/>
    </row>
    <row r="41" spans="1:24" ht="21.75" customHeight="1" x14ac:dyDescent="0.2">
      <c r="A41" s="58" t="s">
        <v>106</v>
      </c>
      <c r="B41" s="59">
        <f>COUNTA(R4:R33)</f>
      </c>
      <c r="C41" s="60" t="str">
        <f>IFERROR(B41/B38,"-")</f>
        <v>-</v>
      </c>
      <c r="D41" s="61" t="s">
        <v>107</v>
      </c>
      <c r="E41" s="62" t="s">
        <v>108</v>
      </c>
      <c r="F41" s="45"/>
      <c r="G41" s="45"/>
      <c r="H41" s="45"/>
    </row>
    <row r="42" spans="1:24" ht="21.75" customHeight="1" x14ac:dyDescent="0.2">
      <c r="A42" s="63" t="s">
        <v>109</v>
      </c>
      <c r="B42" s="64">
        <f>MAX(0,B38-B39-B40-B41)</f>
        <v>0</v>
      </c>
      <c r="C42" s="65" t="str">
        <f>IFERROR(B42/B38,"-")</f>
        <v>-</v>
      </c>
      <c r="D42" s="66" t="s">
        <v>107</v>
      </c>
      <c r="E42" s="67" t="str">
        <f>IF(B42=0,"All accounted for ✓","Follow up needed")</f>
        <v>All accounted for ✓</v>
      </c>
      <c r="F42" s="45"/>
      <c r="G42" s="45"/>
      <c r="H42" s="45"/>
    </row>
    <row r="43" spans="1:24" ht="7.5" customHeight="1" x14ac:dyDescent="0.2">
      <c r="A43" s="45"/>
      <c r="B43" s="45"/>
      <c r="C43" s="45"/>
      <c r="D43" s="45"/>
      <c r="E43" s="45"/>
      <c r="F43" s="45"/>
      <c r="G43" s="45"/>
      <c r="H43" s="45"/>
    </row>
    <row r="44" spans="1:24" ht="37.5" customHeight="1" x14ac:dyDescent="0.2">
      <c r="A44" s="3" t="s">
        <v>110</v>
      </c>
      <c r="B44" s="3"/>
      <c r="C44" s="68" t="str">
        <f>IFERROR(B39/B38,"-")</f>
        <v>-</v>
      </c>
      <c r="D44" s="2" t="str">
        <f>IF(B38=0,"Enter resident data to calculate",IF(B39/B38&gt;=0.6,"✓ Meeting target retention","⚠ Below target — review offers"))</f>
        <v>Enter resident data to calculate</v>
      </c>
      <c r="E44" s="2"/>
      <c r="F44" s="2"/>
      <c r="G44" s="2"/>
      <c r="H44" s="45"/>
    </row>
    <row r="45" spans="1:24" ht="25.5" customHeight="1" x14ac:dyDescent="0.2">
      <c r="A45" s="1" t="s">
        <v>111</v>
      </c>
      <c r="B45" s="1"/>
      <c r="C45" s="69" t="str">
        <f>IFERROR(B39/(B39+B40),"-")</f>
        <v>-</v>
      </c>
      <c r="D45" s="76" t="s">
        <v>112</v>
      </c>
      <c r="E45" s="76"/>
      <c r="F45" s="76"/>
      <c r="G45" s="76"/>
      <c r="H45" s="45"/>
    </row>
    <row r="46" spans="1:24" ht="18" customHeight="1" x14ac:dyDescent="0.2">
      <c r="A46" s="45"/>
      <c r="B46" s="45"/>
      <c r="C46" s="45"/>
      <c r="D46" s="45"/>
      <c r="E46" s="45"/>
      <c r="F46" s="45"/>
      <c r="G46" s="45"/>
      <c r="H46" s="45"/>
    </row>
    <row r="47" spans="1:24" ht="7.5" customHeight="1" x14ac:dyDescent="0.2">
      <c r="A47" s="45"/>
      <c r="B47" s="45"/>
      <c r="C47" s="45"/>
      <c r="D47" s="45"/>
      <c r="E47" s="45"/>
      <c r="F47" s="45"/>
      <c r="G47" s="45"/>
      <c r="H47" s="45"/>
    </row>
    <row r="48" spans="1:24" ht="21.75" customHeight="1" x14ac:dyDescent="0.2">
      <c r="A48" s="70" t="s">
        <v>113</v>
      </c>
      <c r="B48" s="45"/>
      <c r="C48" s="45"/>
      <c r="D48" s="45"/>
      <c r="E48" s="45"/>
      <c r="F48" s="45"/>
      <c r="G48" s="45"/>
      <c r="H48" s="45"/>
    </row>
    <row r="49" spans="1:8" ht="18" customHeight="1" x14ac:dyDescent="0.2">
      <c r="A49" s="71" t="s">
        <v>114</v>
      </c>
      <c r="B49" s="45"/>
      <c r="C49" s="45"/>
      <c r="D49" s="45"/>
      <c r="E49" s="45"/>
      <c r="F49" s="45"/>
      <c r="G49" s="45"/>
      <c r="H49" s="45"/>
    </row>
    <row r="50" spans="1:8" ht="18" customHeight="1" x14ac:dyDescent="0.2">
      <c r="A50" s="72" t="s">
        <v>115</v>
      </c>
      <c r="B50" s="45"/>
      <c r="C50" s="45"/>
      <c r="D50" s="45"/>
      <c r="E50" s="45"/>
      <c r="F50" s="45"/>
      <c r="G50" s="45"/>
      <c r="H50" s="45"/>
    </row>
    <row r="51" spans="1:8" ht="18" customHeight="1" x14ac:dyDescent="0.2">
      <c r="A51" s="73" t="s">
        <v>116</v>
      </c>
      <c r="B51" s="45"/>
      <c r="C51" s="45"/>
      <c r="D51" s="45"/>
      <c r="E51" s="45"/>
      <c r="F51" s="45"/>
      <c r="G51" s="45"/>
      <c r="H51" s="45"/>
    </row>
    <row r="52" spans="1:8" ht="18" customHeight="1" x14ac:dyDescent="0.2">
      <c r="A52" s="74" t="s">
        <v>117</v>
      </c>
      <c r="B52" s="45"/>
      <c r="C52" s="45"/>
      <c r="D52" s="45"/>
      <c r="E52" s="45"/>
      <c r="F52" s="45"/>
      <c r="G52" s="45"/>
      <c r="H52" s="45"/>
    </row>
    <row r="53" spans="1:8" ht="18" customHeight="1" x14ac:dyDescent="0.2">
      <c r="A53" s="75" t="s">
        <v>118</v>
      </c>
      <c r="B53" s="45"/>
      <c r="C53" s="45"/>
      <c r="D53" s="45"/>
      <c r="E53" s="45"/>
      <c r="F53" s="45"/>
      <c r="G53" s="45"/>
      <c r="H53" s="45"/>
    </row>
    <row r="54" spans="1:8" ht="15" customHeight="1" x14ac:dyDescent="0.2">
      <c r="A54" s="45"/>
      <c r="B54" s="45"/>
      <c r="C54" s="45"/>
      <c r="D54" s="45"/>
      <c r="E54" s="45"/>
      <c r="F54" s="45"/>
      <c r="G54" s="45"/>
      <c r="H54" s="45"/>
    </row>
    <row r="55" spans="1:8" ht="15" customHeight="1" x14ac:dyDescent="0.2">
      <c r="A55" s="45"/>
      <c r="B55" s="45"/>
      <c r="C55" s="45"/>
      <c r="D55" s="45"/>
      <c r="E55" s="45"/>
      <c r="F55" s="45"/>
      <c r="G55" s="45"/>
      <c r="H55" s="45"/>
    </row>
    <row r="56" spans="1:8" ht="15" customHeight="1" x14ac:dyDescent="0.2">
      <c r="A56" s="45"/>
      <c r="B56" s="45"/>
      <c r="C56" s="45"/>
      <c r="D56" s="45"/>
      <c r="E56" s="45"/>
      <c r="F56" s="45"/>
      <c r="G56" s="45"/>
      <c r="H56" s="45"/>
    </row>
    <row r="57" spans="1:8" ht="15" customHeight="1" x14ac:dyDescent="0.2">
      <c r="A57" s="45"/>
      <c r="B57" s="45"/>
      <c r="C57" s="45"/>
      <c r="D57" s="45"/>
      <c r="E57" s="45"/>
      <c r="F57" s="45"/>
      <c r="G57" s="45"/>
      <c r="H57" s="45"/>
    </row>
    <row r="58" spans="1:8" ht="15" customHeight="1" x14ac:dyDescent="0.2">
      <c r="A58" s="45"/>
      <c r="B58" s="45"/>
      <c r="C58" s="45"/>
      <c r="D58" s="45"/>
      <c r="E58" s="45"/>
      <c r="F58" s="45"/>
      <c r="G58" s="45"/>
      <c r="H58" s="45"/>
    </row>
    <row r="59" spans="1:8" ht="15" customHeight="1" x14ac:dyDescent="0.2">
      <c r="A59" s="45"/>
      <c r="B59" s="45"/>
      <c r="C59" s="45"/>
      <c r="D59" s="45"/>
      <c r="E59" s="45"/>
      <c r="F59" s="45"/>
      <c r="G59" s="45"/>
      <c r="H59" s="45"/>
    </row>
    <row r="60" spans="1:8" ht="15" customHeight="1" x14ac:dyDescent="0.2">
      <c r="A60" s="45"/>
      <c r="B60" s="45"/>
      <c r="C60" s="45"/>
      <c r="D60" s="45"/>
      <c r="E60" s="45"/>
      <c r="F60" s="45"/>
      <c r="G60" s="45"/>
      <c r="H60" s="45"/>
    </row>
  </sheetData>
  <mergeCells count="6">
    <mergeCell ref="A1:AB1"/>
    <mergeCell ref="A36:G36"/>
    <mergeCell ref="A44:B44"/>
    <mergeCell ref="D44:G44"/>
    <mergeCell ref="A45:B45"/>
    <mergeCell ref="D45:G45"/>
  </mergeCells>
  <conditionalFormatting sqref="A4:U33">
    <cfRule type="expression" dxfId="2" priority="2">
      <formula>$S4&lt;&gt;""</formula>
    </cfRule>
    <cfRule type="expression" dxfId="1" priority="3">
      <formula>$R4&lt;&gt;""</formula>
    </cfRule>
    <cfRule type="expression" dxfId="0" priority="4">
      <formula>$Q4&lt;&gt;""</formula>
    </cfRule>
  </conditionalFormatting>
  <dataValidations count="1">
    <dataValidation type="list" allowBlank="1" showInputMessage="1" showErrorMessage="1" sqref="P4:P33">
      <formula1>"Investor Override,Offer 1,Offer 2,Offer 3"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</vt:lpstr>
      <vt:lpstr>Mar 2026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Jacquelyn Heflin</cp:lastModifiedBy>
  <cp:revision>0</cp:revision>
  <dcterms:created xsi:type="dcterms:W3CDTF">2026-03-11T17:52:19Z</dcterms:created>
  <dcterms:modified xsi:type="dcterms:W3CDTF">2026-03-11T18:28:03Z</dcterms:modified>
  <dc:language>en-US</dc:language>
</cp:coreProperties>
</file>